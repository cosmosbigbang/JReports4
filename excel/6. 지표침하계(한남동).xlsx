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.1" sheetId="1" r:id="rId4"/>
    <sheet state="visible" name="P.2" sheetId="2" r:id="rId5"/>
    <sheet state="visible" name="P.3" sheetId="3" r:id="rId6"/>
    <sheet state="visible" name="P.4" sheetId="4" r:id="rId7"/>
    <sheet state="visible" name="P.5" sheetId="5" r:id="rId8"/>
    <sheet state="visible" name="P.6" sheetId="6" r:id="rId9"/>
    <sheet state="visible" name="P.7" sheetId="7" r:id="rId10"/>
    <sheet state="visible" name="P.8" sheetId="8" r:id="rId11"/>
    <sheet state="visible" name="P.9" sheetId="9" r:id="rId12"/>
  </sheets>
  <definedNames/>
  <calcPr/>
</workbook>
</file>

<file path=xl/sharedStrings.xml><?xml version="1.0" encoding="utf-8"?>
<sst xmlns="http://schemas.openxmlformats.org/spreadsheetml/2006/main" count="273" uniqueCount="53">
  <si>
    <t>지표침하계 DATA</t>
  </si>
  <si>
    <t>ST-1</t>
  </si>
  <si>
    <t>■  계측관리업체(Contract) : ㈜지오테크이앤씨</t>
  </si>
  <si>
    <t>■  현장명(Site) : 용산구 한남동 383일대 근린생활시설 신축공사</t>
  </si>
  <si>
    <t>■  계측기번호(NO.) : ST-1</t>
  </si>
  <si>
    <t>■  계기측종류(Type) : SURFACE SETTLEMENT PIN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</si>
  <si>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</si>
  <si>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날짜</t>
  </si>
  <si>
    <t>기준값</t>
  </si>
  <si>
    <t>후시(B.S)</t>
  </si>
  <si>
    <t>전시(F.S)</t>
  </si>
  <si>
    <t>측정치</t>
  </si>
  <si>
    <t>변위차</t>
  </si>
  <si>
    <t>비  고</t>
  </si>
  <si>
    <t>CM 환산</t>
  </si>
  <si>
    <t>(M)</t>
  </si>
  <si>
    <t>그래프용</t>
  </si>
  <si>
    <t>2025.10.30</t>
  </si>
  <si>
    <t>초 기 치</t>
  </si>
  <si>
    <t>2025.11.03</t>
  </si>
  <si>
    <t>2025.11.06</t>
  </si>
  <si>
    <t>2025.11.10</t>
  </si>
  <si>
    <t>2025.11.13</t>
  </si>
  <si>
    <t>2025.11.17</t>
  </si>
  <si>
    <t>2025.11.20</t>
  </si>
  <si>
    <t>2025.11.24</t>
  </si>
  <si>
    <t>2025.11.27</t>
  </si>
  <si>
    <t>2025.12.01</t>
  </si>
  <si>
    <t>2025.12.04</t>
  </si>
  <si>
    <t>ST-2</t>
  </si>
  <si>
    <t>■  계측기번호(NO.) : ST-2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</si>
  <si>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</si>
  <si>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ST-3</t>
  </si>
  <si>
    <t>■  계측기번호(NO.) : ST-3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</si>
  <si>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</si>
  <si>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ST-4</t>
  </si>
  <si>
    <t>■  계측기번호(NO.) : ST-4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</si>
  <si>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</si>
  <si>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ST-5</t>
  </si>
  <si>
    <t>■  계측기번호(NO.) : ST-5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</si>
  <si>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</si>
  <si>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ST-6</t>
  </si>
  <si>
    <t>■  계측기번호(NO.) : ST-6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</si>
  <si>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</si>
  <si>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ST-7</t>
  </si>
  <si>
    <t>■  계측기번호(NO.) : ST-7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</si>
  <si>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</si>
  <si>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ST-8</t>
  </si>
  <si>
    <t>■  계측기번호(NO.) : ST-8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</si>
  <si>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</si>
  <si>
    <t>ST-9</t>
  </si>
  <si>
    <t>■  계측기번호(NO.) : ST-9</t>
  </si>
  <si>
    <r>
      <rPr>
        <rFont val="HY헤드라인M"/>
        <color theme="1"/>
        <sz val="11.0"/>
      </rPr>
      <t xml:space="preserve">■  공식(Formula) : 측정치 = 기준값 + 후시(B.S) - 전시(F.S)            </t>
    </r>
    <r>
      <rPr>
        <rFont val="HY헤드라인M"/>
        <color rgb="FF0066CC"/>
        <sz val="11.0"/>
      </rPr>
      <t>※  변위차 = 금회측정치 - 초기측정치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</si>
</sst>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_ "/>
    <numFmt numFmtId="165" formatCode="yyyy&quot;-&quot;m&quot;-&quot;d"/>
    <numFmt numFmtId="166" formatCode="0.0_ "/>
  </numFmts>
  <fonts count="9">
    <font>
      <sz val="11.0"/>
      <color rgb="FF000000"/>
      <name val="Dotum"/>
      <scheme val="minor"/>
    </font>
    <font>
      <b/>
      <sz val="22.0"/>
      <color theme="1"/>
      <name val="HY헤드라인M"/>
    </font>
    <font/>
    <font>
      <b/>
      <sz val="11.0"/>
      <color theme="1"/>
      <name val="Dotum"/>
    </font>
    <font>
      <b/>
      <sz val="20.0"/>
      <color theme="1"/>
      <name val="HY헤드라인M"/>
    </font>
    <font>
      <sz val="11.0"/>
      <color theme="1"/>
      <name val="HY헤드라인M"/>
    </font>
    <font>
      <b/>
      <sz val="10.0"/>
      <color theme="1"/>
      <name val="HY헤드라인M"/>
    </font>
    <font>
      <sz val="11.0"/>
      <color theme="1"/>
      <name val="Dotum"/>
    </font>
    <font>
      <sz val="10.0"/>
      <color theme="1"/>
      <name val="HY헤드라인M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EEECE1"/>
        <bgColor rgb="FFEEECE1"/>
      </patternFill>
    </fill>
  </fills>
  <borders count="29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3" fontId="6" numFmtId="0" xfId="0" applyAlignment="1" applyBorder="1" applyFill="1" applyFont="1">
      <alignment horizontal="center" shrinkToFit="0" vertical="center" wrapText="0"/>
    </xf>
    <xf borderId="16" fillId="3" fontId="6" numFmtId="0" xfId="0" applyAlignment="1" applyBorder="1" applyFont="1">
      <alignment horizontal="center" shrinkToFit="0" vertical="center" wrapText="0"/>
    </xf>
    <xf borderId="16" fillId="3" fontId="6" numFmtId="164" xfId="0" applyAlignment="1" applyBorder="1" applyFont="1" applyNumberFormat="1">
      <alignment horizontal="center" shrinkToFit="0" vertical="center" wrapText="0"/>
    </xf>
    <xf borderId="17" fillId="3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18" fillId="0" fontId="2" numFmtId="0" xfId="0" applyAlignment="1" applyBorder="1" applyFont="1">
      <alignment vertical="center"/>
    </xf>
    <xf borderId="19" fillId="3" fontId="6" numFmtId="0" xfId="0" applyAlignment="1" applyBorder="1" applyFont="1">
      <alignment horizontal="center" shrinkToFit="0" vertical="center" wrapText="0"/>
    </xf>
    <xf borderId="19" fillId="3" fontId="6" numFmtId="164" xfId="0" applyAlignment="1" applyBorder="1" applyFont="1" applyNumberFormat="1">
      <alignment horizontal="center" shrinkToFit="0" vertical="center" wrapText="0"/>
    </xf>
    <xf borderId="20" fillId="0" fontId="2" numFmtId="0" xfId="0" applyAlignment="1" applyBorder="1" applyFont="1">
      <alignment vertical="center"/>
    </xf>
    <xf borderId="21" fillId="0" fontId="8" numFmtId="165" xfId="0" applyAlignment="1" applyBorder="1" applyFont="1" applyNumberFormat="1">
      <alignment horizontal="center" shrinkToFit="0" vertical="center" wrapText="0"/>
    </xf>
    <xf borderId="22" fillId="0" fontId="8" numFmtId="164" xfId="0" applyAlignment="1" applyBorder="1" applyFont="1" applyNumberFormat="1">
      <alignment horizontal="center" shrinkToFit="0" vertical="center" wrapText="0"/>
    </xf>
    <xf borderId="23" fillId="0" fontId="8" numFmtId="164" xfId="0" applyAlignment="1" applyBorder="1" applyFont="1" applyNumberFormat="1">
      <alignment horizontal="center" shrinkToFit="0" vertical="center" wrapText="0"/>
    </xf>
    <xf borderId="24" fillId="0" fontId="8" numFmtId="166" xfId="0" applyAlignment="1" applyBorder="1" applyFont="1" applyNumberFormat="1">
      <alignment horizontal="center" shrinkToFit="0" vertical="center" wrapText="0"/>
    </xf>
    <xf borderId="0" fillId="0" fontId="7" numFmtId="166" xfId="0" applyAlignment="1" applyFont="1" applyNumberFormat="1">
      <alignment horizontal="center" shrinkToFit="0" vertical="center" wrapText="0"/>
    </xf>
    <xf borderId="25" fillId="0" fontId="8" numFmtId="165" xfId="0" applyAlignment="1" applyBorder="1" applyFont="1" applyNumberFormat="1">
      <alignment horizontal="center" shrinkToFit="0" vertical="center" wrapText="0"/>
    </xf>
    <xf borderId="26" fillId="0" fontId="8" numFmtId="164" xfId="0" applyAlignment="1" applyBorder="1" applyFont="1" applyNumberFormat="1">
      <alignment horizontal="center" shrinkToFit="0" vertical="center" wrapText="0"/>
    </xf>
    <xf borderId="27" fillId="0" fontId="8" numFmtId="164" xfId="0" applyAlignment="1" applyBorder="1" applyFont="1" applyNumberFormat="1">
      <alignment horizontal="center" shrinkToFit="0" vertical="center" wrapText="0"/>
    </xf>
    <xf borderId="28" fillId="0" fontId="8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P.1!$A$12:$A$15</c:f>
            </c:strRef>
          </c:cat>
          <c:val>
            <c:numRef>
              <c:f>P.1!$H$12:$H$26</c:f>
              <c:numCache/>
            </c:numRef>
          </c:val>
          <c:smooth val="0"/>
        </c:ser>
        <c:axId val="202526267"/>
        <c:axId val="1092860997"/>
      </c:lineChart>
      <c:catAx>
        <c:axId val="202526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860997"/>
      </c:catAx>
      <c:valAx>
        <c:axId val="1092860997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26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P.2!$A$12:$A$15</c:f>
            </c:strRef>
          </c:cat>
          <c:val>
            <c:numRef>
              <c:f>P.2!$H$12:$H$27</c:f>
              <c:numCache/>
            </c:numRef>
          </c:val>
          <c:smooth val="0"/>
        </c:ser>
        <c:axId val="1525170100"/>
        <c:axId val="2044756081"/>
      </c:lineChart>
      <c:catAx>
        <c:axId val="1525170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756081"/>
      </c:catAx>
      <c:valAx>
        <c:axId val="2044756081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170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P.3!$A$12:$A$15</c:f>
            </c:strRef>
          </c:cat>
          <c:val>
            <c:numRef>
              <c:f>P.3!$H$12:$H$26</c:f>
              <c:numCache/>
            </c:numRef>
          </c:val>
          <c:smooth val="0"/>
        </c:ser>
        <c:axId val="1940597065"/>
        <c:axId val="371798764"/>
      </c:lineChart>
      <c:catAx>
        <c:axId val="1940597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798764"/>
      </c:catAx>
      <c:valAx>
        <c:axId val="371798764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597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P.4!$A$12:$A$23</c:f>
            </c:strRef>
          </c:cat>
          <c:val>
            <c:numRef>
              <c:f>P.4!$H$12:$H$27</c:f>
              <c:numCache/>
            </c:numRef>
          </c:val>
          <c:smooth val="0"/>
        </c:ser>
        <c:axId val="475676853"/>
        <c:axId val="1022480860"/>
      </c:lineChart>
      <c:catAx>
        <c:axId val="475676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480860"/>
      </c:catAx>
      <c:valAx>
        <c:axId val="1022480860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676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P.5!$A$12:$A$15</c:f>
            </c:strRef>
          </c:cat>
          <c:val>
            <c:numRef>
              <c:f>P.5!$H$12:$H$27</c:f>
              <c:numCache/>
            </c:numRef>
          </c:val>
          <c:smooth val="0"/>
        </c:ser>
        <c:axId val="70887314"/>
        <c:axId val="2056501167"/>
      </c:lineChart>
      <c:catAx>
        <c:axId val="70887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501167"/>
      </c:catAx>
      <c:valAx>
        <c:axId val="2056501167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87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P.6!$A$12:$A$15</c:f>
            </c:strRef>
          </c:cat>
          <c:val>
            <c:numRef>
              <c:f>P.6!$H$12:$H$27</c:f>
              <c:numCache/>
            </c:numRef>
          </c:val>
          <c:smooth val="0"/>
        </c:ser>
        <c:axId val="279854473"/>
        <c:axId val="1406484037"/>
      </c:lineChart>
      <c:catAx>
        <c:axId val="279854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484037"/>
      </c:catAx>
      <c:valAx>
        <c:axId val="1406484037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854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P.7!$A$12:$A$15</c:f>
            </c:strRef>
          </c:cat>
          <c:val>
            <c:numRef>
              <c:f>P.7!$H$12:$H$26</c:f>
              <c:numCache/>
            </c:numRef>
          </c:val>
          <c:smooth val="0"/>
        </c:ser>
        <c:axId val="268890939"/>
        <c:axId val="1170017674"/>
      </c:lineChart>
      <c:catAx>
        <c:axId val="268890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017674"/>
      </c:catAx>
      <c:valAx>
        <c:axId val="1170017674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890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P.8!$A$12:$A$15</c:f>
            </c:strRef>
          </c:cat>
          <c:val>
            <c:numRef>
              <c:f>P.8!$H$12:$H$27</c:f>
              <c:numCache/>
            </c:numRef>
          </c:val>
          <c:smooth val="0"/>
        </c:ser>
        <c:axId val="506329803"/>
        <c:axId val="925959191"/>
      </c:lineChart>
      <c:catAx>
        <c:axId val="506329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959191"/>
      </c:catAx>
      <c:valAx>
        <c:axId val="925959191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329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P.9!$A$12:$A$15</c:f>
            </c:strRef>
          </c:cat>
          <c:val>
            <c:numRef>
              <c:f>P.9!$H$12:$H$26</c:f>
              <c:numCache/>
            </c:numRef>
          </c:val>
          <c:smooth val="0"/>
        </c:ser>
        <c:axId val="1366012564"/>
        <c:axId val="687818303"/>
      </c:lineChart>
      <c:catAx>
        <c:axId val="1366012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818303"/>
      </c:catAx>
      <c:valAx>
        <c:axId val="687818303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침하량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012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8</xdr:row>
      <xdr:rowOff>19050</xdr:rowOff>
    </xdr:from>
    <xdr:ext cx="8248650" cy="1609725"/>
    <xdr:graphicFrame>
      <xdr:nvGraphicFramePr>
        <xdr:cNvPr descr="Chart 0"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">
        <v>3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4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6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">
        <v>17</v>
      </c>
      <c r="B12" s="28">
        <v>0.0</v>
      </c>
      <c r="C12" s="28">
        <v>0.39</v>
      </c>
      <c r="D12" s="28">
        <v>0.054</v>
      </c>
      <c r="E12" s="29">
        <f t="shared" ref="E12:E22" si="1">B12+C12-D12</f>
        <v>0.336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">
        <v>19</v>
      </c>
      <c r="B13" s="28">
        <v>0.0</v>
      </c>
      <c r="C13" s="28">
        <v>0.413</v>
      </c>
      <c r="D13" s="28">
        <v>0.079</v>
      </c>
      <c r="E13" s="29">
        <f t="shared" si="1"/>
        <v>0.334</v>
      </c>
      <c r="F13" s="29">
        <f t="shared" si="2"/>
        <v>-0.002</v>
      </c>
      <c r="G13" s="30"/>
      <c r="H13" s="31">
        <f t="shared" si="3"/>
        <v>-2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0.091</v>
      </c>
      <c r="E14" s="29">
        <f t="shared" si="1"/>
        <v>0.334</v>
      </c>
      <c r="F14" s="29">
        <f t="shared" si="2"/>
        <v>-0.002</v>
      </c>
      <c r="G14" s="30"/>
      <c r="H14" s="31">
        <f t="shared" si="3"/>
        <v>-2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0.066</v>
      </c>
      <c r="E15" s="29">
        <f t="shared" si="1"/>
        <v>0.335</v>
      </c>
      <c r="F15" s="29">
        <f t="shared" si="2"/>
        <v>-0.001</v>
      </c>
      <c r="G15" s="30"/>
      <c r="H15" s="31">
        <f t="shared" si="3"/>
        <v>-1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0.063</v>
      </c>
      <c r="E16" s="29">
        <f t="shared" si="1"/>
        <v>0.335</v>
      </c>
      <c r="F16" s="29">
        <f t="shared" si="2"/>
        <v>-0.001</v>
      </c>
      <c r="G16" s="30"/>
      <c r="H16" s="31">
        <f t="shared" si="3"/>
        <v>-1</v>
      </c>
    </row>
    <row r="17" ht="17.25" customHeight="1">
      <c r="A17" s="27" t="s">
        <v>23</v>
      </c>
      <c r="B17" s="28">
        <v>0.0</v>
      </c>
      <c r="C17" s="28">
        <v>0.43</v>
      </c>
      <c r="D17" s="28">
        <v>0.096</v>
      </c>
      <c r="E17" s="29">
        <f t="shared" si="1"/>
        <v>0.334</v>
      </c>
      <c r="F17" s="29">
        <f t="shared" si="2"/>
        <v>-0.002</v>
      </c>
      <c r="G17" s="30"/>
      <c r="H17" s="31">
        <f t="shared" si="3"/>
        <v>-2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0.074</v>
      </c>
      <c r="E18" s="29">
        <f t="shared" si="1"/>
        <v>0.335</v>
      </c>
      <c r="F18" s="29">
        <f t="shared" si="2"/>
        <v>-0.001</v>
      </c>
      <c r="G18" s="30"/>
      <c r="H18" s="31">
        <f t="shared" si="3"/>
        <v>-1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0.087</v>
      </c>
      <c r="E19" s="29">
        <f t="shared" si="1"/>
        <v>0.335</v>
      </c>
      <c r="F19" s="29">
        <f t="shared" si="2"/>
        <v>-0.001</v>
      </c>
      <c r="G19" s="30"/>
      <c r="H19" s="31">
        <f t="shared" si="3"/>
        <v>-1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0.081</v>
      </c>
      <c r="E20" s="29">
        <f t="shared" si="1"/>
        <v>0.334</v>
      </c>
      <c r="F20" s="29">
        <f t="shared" si="2"/>
        <v>-0.002</v>
      </c>
      <c r="G20" s="30"/>
      <c r="H20" s="31">
        <f t="shared" si="3"/>
        <v>-2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0.074</v>
      </c>
      <c r="E21" s="29">
        <f t="shared" si="1"/>
        <v>0.333</v>
      </c>
      <c r="F21" s="29">
        <f t="shared" si="2"/>
        <v>-0.003</v>
      </c>
      <c r="G21" s="30"/>
      <c r="H21" s="31">
        <f t="shared" si="3"/>
        <v>-3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0.092</v>
      </c>
      <c r="E22" s="29">
        <f t="shared" si="1"/>
        <v>0.333</v>
      </c>
      <c r="F22" s="29">
        <f t="shared" si="2"/>
        <v>-0.003</v>
      </c>
      <c r="G22" s="30"/>
      <c r="H22" s="31">
        <f t="shared" si="3"/>
        <v>-3</v>
      </c>
    </row>
    <row r="23" ht="17.25" customHeight="1">
      <c r="A23" s="27"/>
      <c r="B23" s="28"/>
      <c r="C23" s="29"/>
      <c r="D23" s="29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29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30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31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0.095</v>
      </c>
      <c r="E12" s="29">
        <f t="shared" ref="E12:E22" si="1">B12+C12-D12</f>
        <v>0.295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0.12</v>
      </c>
      <c r="E13" s="29">
        <f t="shared" si="1"/>
        <v>0.293</v>
      </c>
      <c r="F13" s="29">
        <f t="shared" si="2"/>
        <v>-0.002</v>
      </c>
      <c r="G13" s="30"/>
      <c r="H13" s="31">
        <f t="shared" si="3"/>
        <v>-2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0.131</v>
      </c>
      <c r="E14" s="29">
        <f t="shared" si="1"/>
        <v>0.294</v>
      </c>
      <c r="F14" s="29">
        <f t="shared" si="2"/>
        <v>-0.001</v>
      </c>
      <c r="G14" s="30"/>
      <c r="H14" s="31">
        <f t="shared" si="3"/>
        <v>-1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0.109</v>
      </c>
      <c r="E15" s="29">
        <f t="shared" si="1"/>
        <v>0.292</v>
      </c>
      <c r="F15" s="29">
        <f t="shared" si="2"/>
        <v>-0.003</v>
      </c>
      <c r="G15" s="30"/>
      <c r="H15" s="31">
        <f t="shared" si="3"/>
        <v>-3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0.105</v>
      </c>
      <c r="E16" s="29">
        <f t="shared" si="1"/>
        <v>0.293</v>
      </c>
      <c r="F16" s="29">
        <f t="shared" si="2"/>
        <v>-0.002</v>
      </c>
      <c r="G16" s="30"/>
      <c r="H16" s="31">
        <f t="shared" si="3"/>
        <v>-2</v>
      </c>
    </row>
    <row r="17" ht="17.25" customHeight="1">
      <c r="A17" s="27" t="s">
        <v>23</v>
      </c>
      <c r="B17" s="28">
        <v>0.0</v>
      </c>
      <c r="C17" s="28">
        <v>0.43</v>
      </c>
      <c r="D17" s="28">
        <v>0.138</v>
      </c>
      <c r="E17" s="29">
        <f t="shared" si="1"/>
        <v>0.292</v>
      </c>
      <c r="F17" s="29">
        <f t="shared" si="2"/>
        <v>-0.003</v>
      </c>
      <c r="G17" s="30"/>
      <c r="H17" s="31">
        <f t="shared" si="3"/>
        <v>-3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0.116</v>
      </c>
      <c r="E18" s="29">
        <f t="shared" si="1"/>
        <v>0.293</v>
      </c>
      <c r="F18" s="29">
        <f t="shared" si="2"/>
        <v>-0.002</v>
      </c>
      <c r="G18" s="30"/>
      <c r="H18" s="31">
        <f t="shared" si="3"/>
        <v>-2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0.129</v>
      </c>
      <c r="E19" s="29">
        <f t="shared" si="1"/>
        <v>0.293</v>
      </c>
      <c r="F19" s="29">
        <f t="shared" si="2"/>
        <v>-0.002</v>
      </c>
      <c r="G19" s="30"/>
      <c r="H19" s="31">
        <f t="shared" si="3"/>
        <v>-2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0.121</v>
      </c>
      <c r="E20" s="29">
        <f t="shared" si="1"/>
        <v>0.294</v>
      </c>
      <c r="F20" s="29">
        <f t="shared" si="2"/>
        <v>-0.001</v>
      </c>
      <c r="G20" s="30"/>
      <c r="H20" s="31">
        <f t="shared" si="3"/>
        <v>-1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0.113</v>
      </c>
      <c r="E21" s="29">
        <f t="shared" si="1"/>
        <v>0.294</v>
      </c>
      <c r="F21" s="29">
        <f t="shared" si="2"/>
        <v>-0.001</v>
      </c>
      <c r="G21" s="30"/>
      <c r="H21" s="31">
        <f t="shared" si="3"/>
        <v>-1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0.133</v>
      </c>
      <c r="E22" s="29">
        <f t="shared" si="1"/>
        <v>0.292</v>
      </c>
      <c r="F22" s="29">
        <f t="shared" si="2"/>
        <v>-0.003</v>
      </c>
      <c r="G22" s="30"/>
      <c r="H22" s="31">
        <f t="shared" si="3"/>
        <v>-3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32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33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34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0.08</v>
      </c>
      <c r="E12" s="29">
        <f t="shared" ref="E12:E22" si="1">B12+C12-D12</f>
        <v>0.31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0.104</v>
      </c>
      <c r="E13" s="29">
        <f t="shared" si="1"/>
        <v>0.309</v>
      </c>
      <c r="F13" s="29">
        <f t="shared" si="2"/>
        <v>-0.001</v>
      </c>
      <c r="G13" s="30"/>
      <c r="H13" s="31">
        <f t="shared" si="3"/>
        <v>-1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0.117</v>
      </c>
      <c r="E14" s="29">
        <f t="shared" si="1"/>
        <v>0.308</v>
      </c>
      <c r="F14" s="29">
        <f t="shared" si="2"/>
        <v>-0.002</v>
      </c>
      <c r="G14" s="30"/>
      <c r="H14" s="31">
        <f t="shared" si="3"/>
        <v>-2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0.092</v>
      </c>
      <c r="E15" s="29">
        <f t="shared" si="1"/>
        <v>0.309</v>
      </c>
      <c r="F15" s="29">
        <f t="shared" si="2"/>
        <v>-0.001</v>
      </c>
      <c r="G15" s="30"/>
      <c r="H15" s="31">
        <f t="shared" si="3"/>
        <v>-1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0.089</v>
      </c>
      <c r="E16" s="29">
        <f t="shared" si="1"/>
        <v>0.309</v>
      </c>
      <c r="F16" s="29">
        <f t="shared" si="2"/>
        <v>-0.001</v>
      </c>
      <c r="G16" s="30"/>
      <c r="H16" s="31">
        <f t="shared" si="3"/>
        <v>-1</v>
      </c>
    </row>
    <row r="17" ht="17.25" customHeight="1">
      <c r="A17" s="27" t="s">
        <v>23</v>
      </c>
      <c r="B17" s="28">
        <v>0.0</v>
      </c>
      <c r="C17" s="28">
        <v>0.43</v>
      </c>
      <c r="D17" s="28">
        <v>0.123</v>
      </c>
      <c r="E17" s="29">
        <f t="shared" si="1"/>
        <v>0.307</v>
      </c>
      <c r="F17" s="29">
        <f t="shared" si="2"/>
        <v>-0.003</v>
      </c>
      <c r="G17" s="30"/>
      <c r="H17" s="31">
        <f t="shared" si="3"/>
        <v>-3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0.101</v>
      </c>
      <c r="E18" s="29">
        <f t="shared" si="1"/>
        <v>0.308</v>
      </c>
      <c r="F18" s="29">
        <f t="shared" si="2"/>
        <v>-0.002</v>
      </c>
      <c r="G18" s="30"/>
      <c r="H18" s="31">
        <f t="shared" si="3"/>
        <v>-2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0.115</v>
      </c>
      <c r="E19" s="29">
        <f t="shared" si="1"/>
        <v>0.307</v>
      </c>
      <c r="F19" s="29">
        <f t="shared" si="2"/>
        <v>-0.003</v>
      </c>
      <c r="G19" s="30"/>
      <c r="H19" s="31">
        <f t="shared" si="3"/>
        <v>-3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0.106</v>
      </c>
      <c r="E20" s="29">
        <f t="shared" si="1"/>
        <v>0.309</v>
      </c>
      <c r="F20" s="29">
        <f t="shared" si="2"/>
        <v>-0.001</v>
      </c>
      <c r="G20" s="30"/>
      <c r="H20" s="31">
        <f t="shared" si="3"/>
        <v>-1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0.099</v>
      </c>
      <c r="E21" s="29">
        <f t="shared" si="1"/>
        <v>0.308</v>
      </c>
      <c r="F21" s="29">
        <f t="shared" si="2"/>
        <v>-0.002</v>
      </c>
      <c r="G21" s="30"/>
      <c r="H21" s="31">
        <f t="shared" si="3"/>
        <v>-2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0.116</v>
      </c>
      <c r="E22" s="29">
        <f t="shared" si="1"/>
        <v>0.309</v>
      </c>
      <c r="F22" s="29">
        <f t="shared" si="2"/>
        <v>-0.001</v>
      </c>
      <c r="G22" s="30"/>
      <c r="H22" s="31">
        <f t="shared" si="3"/>
        <v>-1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35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36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37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2.008</v>
      </c>
      <c r="E12" s="29">
        <f t="shared" ref="E12:E22" si="1">B12+C12-D12</f>
        <v>-1.618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2.032</v>
      </c>
      <c r="E13" s="29">
        <f t="shared" si="1"/>
        <v>-1.619</v>
      </c>
      <c r="F13" s="29">
        <f t="shared" si="2"/>
        <v>-0.001</v>
      </c>
      <c r="G13" s="30"/>
      <c r="H13" s="31">
        <f t="shared" si="3"/>
        <v>-1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2.044</v>
      </c>
      <c r="E14" s="29">
        <f t="shared" si="1"/>
        <v>-1.619</v>
      </c>
      <c r="F14" s="29">
        <f t="shared" si="2"/>
        <v>-0.001</v>
      </c>
      <c r="G14" s="30"/>
      <c r="H14" s="31">
        <f t="shared" si="3"/>
        <v>-1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2.022</v>
      </c>
      <c r="E15" s="29">
        <f t="shared" si="1"/>
        <v>-1.621</v>
      </c>
      <c r="F15" s="29">
        <f t="shared" si="2"/>
        <v>-0.003</v>
      </c>
      <c r="G15" s="30"/>
      <c r="H15" s="31">
        <f t="shared" si="3"/>
        <v>-3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2.017</v>
      </c>
      <c r="E16" s="29">
        <f t="shared" si="1"/>
        <v>-1.619</v>
      </c>
      <c r="F16" s="29">
        <f t="shared" si="2"/>
        <v>-0.001</v>
      </c>
      <c r="G16" s="30"/>
      <c r="H16" s="31">
        <f t="shared" si="3"/>
        <v>-1</v>
      </c>
    </row>
    <row r="17" ht="17.25" customHeight="1">
      <c r="A17" s="27" t="s">
        <v>23</v>
      </c>
      <c r="B17" s="28">
        <v>0.0</v>
      </c>
      <c r="C17" s="28">
        <v>0.43</v>
      </c>
      <c r="D17" s="28">
        <v>2.05</v>
      </c>
      <c r="E17" s="29">
        <f t="shared" si="1"/>
        <v>-1.62</v>
      </c>
      <c r="F17" s="29">
        <f t="shared" si="2"/>
        <v>-0.002</v>
      </c>
      <c r="G17" s="30"/>
      <c r="H17" s="31">
        <f t="shared" si="3"/>
        <v>-2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2.03</v>
      </c>
      <c r="E18" s="29">
        <f t="shared" si="1"/>
        <v>-1.621</v>
      </c>
      <c r="F18" s="29">
        <f t="shared" si="2"/>
        <v>-0.003</v>
      </c>
      <c r="G18" s="30"/>
      <c r="H18" s="31">
        <f t="shared" si="3"/>
        <v>-3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2.042</v>
      </c>
      <c r="E19" s="29">
        <f t="shared" si="1"/>
        <v>-1.62</v>
      </c>
      <c r="F19" s="29">
        <f t="shared" si="2"/>
        <v>-0.002</v>
      </c>
      <c r="G19" s="30"/>
      <c r="H19" s="31">
        <f t="shared" si="3"/>
        <v>-2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2.035</v>
      </c>
      <c r="E20" s="29">
        <f t="shared" si="1"/>
        <v>-1.62</v>
      </c>
      <c r="F20" s="29">
        <f t="shared" si="2"/>
        <v>-0.002</v>
      </c>
      <c r="G20" s="30"/>
      <c r="H20" s="31">
        <f t="shared" si="3"/>
        <v>-2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2.026</v>
      </c>
      <c r="E21" s="29">
        <f t="shared" si="1"/>
        <v>-1.619</v>
      </c>
      <c r="F21" s="29">
        <f t="shared" si="2"/>
        <v>-0.001</v>
      </c>
      <c r="G21" s="30"/>
      <c r="H21" s="31">
        <f t="shared" si="3"/>
        <v>-1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2.045</v>
      </c>
      <c r="E22" s="29">
        <f t="shared" si="1"/>
        <v>-1.62</v>
      </c>
      <c r="F22" s="29">
        <f t="shared" si="2"/>
        <v>-0.002</v>
      </c>
      <c r="G22" s="30"/>
      <c r="H22" s="31">
        <f t="shared" si="3"/>
        <v>-2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38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39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40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1.957</v>
      </c>
      <c r="E12" s="29">
        <f t="shared" ref="E12:E22" si="1">B12+C12-D12</f>
        <v>-1.567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1.982</v>
      </c>
      <c r="E13" s="29">
        <f t="shared" si="1"/>
        <v>-1.569</v>
      </c>
      <c r="F13" s="29">
        <f t="shared" si="2"/>
        <v>-0.002</v>
      </c>
      <c r="G13" s="30"/>
      <c r="H13" s="31">
        <f t="shared" si="3"/>
        <v>-2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1.995</v>
      </c>
      <c r="E14" s="29">
        <f t="shared" si="1"/>
        <v>-1.57</v>
      </c>
      <c r="F14" s="29">
        <f t="shared" si="2"/>
        <v>-0.003</v>
      </c>
      <c r="G14" s="30"/>
      <c r="H14" s="31">
        <f t="shared" si="3"/>
        <v>-3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1.969</v>
      </c>
      <c r="E15" s="29">
        <f t="shared" si="1"/>
        <v>-1.568</v>
      </c>
      <c r="F15" s="29">
        <f t="shared" si="2"/>
        <v>-0.001</v>
      </c>
      <c r="G15" s="30"/>
      <c r="H15" s="31">
        <f t="shared" si="3"/>
        <v>-1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1.967</v>
      </c>
      <c r="E16" s="29">
        <f t="shared" si="1"/>
        <v>-1.569</v>
      </c>
      <c r="F16" s="29">
        <f t="shared" si="2"/>
        <v>-0.002</v>
      </c>
      <c r="G16" s="30"/>
      <c r="H16" s="31">
        <f t="shared" si="3"/>
        <v>-2</v>
      </c>
    </row>
    <row r="17" ht="17.25" customHeight="1">
      <c r="A17" s="27" t="s">
        <v>23</v>
      </c>
      <c r="B17" s="28">
        <v>0.0</v>
      </c>
      <c r="C17" s="28">
        <v>0.43</v>
      </c>
      <c r="D17" s="28">
        <v>1.999</v>
      </c>
      <c r="E17" s="29">
        <f t="shared" si="1"/>
        <v>-1.569</v>
      </c>
      <c r="F17" s="29">
        <f t="shared" si="2"/>
        <v>-0.002</v>
      </c>
      <c r="G17" s="30"/>
      <c r="H17" s="31">
        <f t="shared" si="3"/>
        <v>-2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1.977</v>
      </c>
      <c r="E18" s="29">
        <f t="shared" si="1"/>
        <v>-1.568</v>
      </c>
      <c r="F18" s="29">
        <f t="shared" si="2"/>
        <v>-0.001</v>
      </c>
      <c r="G18" s="30"/>
      <c r="H18" s="31">
        <f t="shared" si="3"/>
        <v>-1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1.99</v>
      </c>
      <c r="E19" s="29">
        <f t="shared" si="1"/>
        <v>-1.568</v>
      </c>
      <c r="F19" s="29">
        <f t="shared" si="2"/>
        <v>-0.001</v>
      </c>
      <c r="G19" s="30"/>
      <c r="H19" s="31">
        <f t="shared" si="3"/>
        <v>-1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1.984</v>
      </c>
      <c r="E20" s="29">
        <f t="shared" si="1"/>
        <v>-1.569</v>
      </c>
      <c r="F20" s="29">
        <f t="shared" si="2"/>
        <v>-0.002</v>
      </c>
      <c r="G20" s="30"/>
      <c r="H20" s="31">
        <f t="shared" si="3"/>
        <v>-2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1.977</v>
      </c>
      <c r="E21" s="29">
        <f t="shared" si="1"/>
        <v>-1.57</v>
      </c>
      <c r="F21" s="29">
        <f t="shared" si="2"/>
        <v>-0.003</v>
      </c>
      <c r="G21" s="30"/>
      <c r="H21" s="31">
        <f t="shared" si="3"/>
        <v>-3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1.995</v>
      </c>
      <c r="E22" s="29">
        <f t="shared" si="1"/>
        <v>-1.57</v>
      </c>
      <c r="F22" s="29">
        <f t="shared" si="2"/>
        <v>-0.003</v>
      </c>
      <c r="G22" s="30"/>
      <c r="H22" s="31">
        <f t="shared" si="3"/>
        <v>-3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41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42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43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1.854</v>
      </c>
      <c r="E12" s="29">
        <f t="shared" ref="E12:E22" si="1">B12+C12-D12</f>
        <v>-1.464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1.879</v>
      </c>
      <c r="E13" s="29">
        <f t="shared" si="1"/>
        <v>-1.466</v>
      </c>
      <c r="F13" s="29">
        <f t="shared" si="2"/>
        <v>-0.002</v>
      </c>
      <c r="G13" s="30"/>
      <c r="H13" s="31">
        <f t="shared" si="3"/>
        <v>-2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1.89</v>
      </c>
      <c r="E14" s="29">
        <f t="shared" si="1"/>
        <v>-1.465</v>
      </c>
      <c r="F14" s="29">
        <f t="shared" si="2"/>
        <v>-0.001</v>
      </c>
      <c r="G14" s="30"/>
      <c r="H14" s="31">
        <f t="shared" si="3"/>
        <v>-1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1.867</v>
      </c>
      <c r="E15" s="29">
        <f t="shared" si="1"/>
        <v>-1.466</v>
      </c>
      <c r="F15" s="29">
        <f t="shared" si="2"/>
        <v>-0.002</v>
      </c>
      <c r="G15" s="30"/>
      <c r="H15" s="31">
        <f t="shared" si="3"/>
        <v>-2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1.864</v>
      </c>
      <c r="E16" s="29">
        <f t="shared" si="1"/>
        <v>-1.466</v>
      </c>
      <c r="F16" s="29">
        <f t="shared" si="2"/>
        <v>-0.002</v>
      </c>
      <c r="G16" s="30"/>
      <c r="H16" s="31">
        <f t="shared" si="3"/>
        <v>-2</v>
      </c>
    </row>
    <row r="17" ht="17.25" customHeight="1">
      <c r="A17" s="27" t="s">
        <v>23</v>
      </c>
      <c r="B17" s="28">
        <v>0.0</v>
      </c>
      <c r="C17" s="28">
        <v>0.43</v>
      </c>
      <c r="D17" s="28">
        <v>1.895</v>
      </c>
      <c r="E17" s="29">
        <f t="shared" si="1"/>
        <v>-1.465</v>
      </c>
      <c r="F17" s="29">
        <f t="shared" si="2"/>
        <v>-0.001</v>
      </c>
      <c r="G17" s="30"/>
      <c r="H17" s="31">
        <f t="shared" si="3"/>
        <v>-1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1.875</v>
      </c>
      <c r="E18" s="29">
        <f t="shared" si="1"/>
        <v>-1.466</v>
      </c>
      <c r="F18" s="29">
        <f t="shared" si="2"/>
        <v>-0.002</v>
      </c>
      <c r="G18" s="30"/>
      <c r="H18" s="31">
        <f t="shared" si="3"/>
        <v>-2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1.888</v>
      </c>
      <c r="E19" s="29">
        <f t="shared" si="1"/>
        <v>-1.466</v>
      </c>
      <c r="F19" s="29">
        <f t="shared" si="2"/>
        <v>-0.002</v>
      </c>
      <c r="G19" s="30"/>
      <c r="H19" s="31">
        <f t="shared" si="3"/>
        <v>-2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1.88</v>
      </c>
      <c r="E20" s="29">
        <f t="shared" si="1"/>
        <v>-1.465</v>
      </c>
      <c r="F20" s="29">
        <f t="shared" si="2"/>
        <v>-0.001</v>
      </c>
      <c r="G20" s="30"/>
      <c r="H20" s="31">
        <f t="shared" si="3"/>
        <v>-1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1.874</v>
      </c>
      <c r="E21" s="29">
        <f t="shared" si="1"/>
        <v>-1.467</v>
      </c>
      <c r="F21" s="29">
        <f t="shared" si="2"/>
        <v>-0.003</v>
      </c>
      <c r="G21" s="30"/>
      <c r="H21" s="31">
        <f t="shared" si="3"/>
        <v>-3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1.89</v>
      </c>
      <c r="E22" s="29">
        <f t="shared" si="1"/>
        <v>-1.465</v>
      </c>
      <c r="F22" s="29">
        <f t="shared" si="2"/>
        <v>-0.001</v>
      </c>
      <c r="G22" s="30"/>
      <c r="H22" s="31">
        <f t="shared" si="3"/>
        <v>-1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44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45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46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2.591</v>
      </c>
      <c r="E12" s="29">
        <f t="shared" ref="E12:E22" si="1">B12+C12-D12</f>
        <v>-2.201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2.616</v>
      </c>
      <c r="E13" s="29">
        <f t="shared" si="1"/>
        <v>-2.203</v>
      </c>
      <c r="F13" s="29">
        <f t="shared" si="2"/>
        <v>-0.002</v>
      </c>
      <c r="G13" s="30"/>
      <c r="H13" s="31">
        <f t="shared" si="3"/>
        <v>-2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2.629</v>
      </c>
      <c r="E14" s="29">
        <f t="shared" si="1"/>
        <v>-2.204</v>
      </c>
      <c r="F14" s="29">
        <f t="shared" si="2"/>
        <v>-0.003</v>
      </c>
      <c r="G14" s="30"/>
      <c r="H14" s="31">
        <f t="shared" si="3"/>
        <v>-3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2.604</v>
      </c>
      <c r="E15" s="29">
        <f t="shared" si="1"/>
        <v>-2.203</v>
      </c>
      <c r="F15" s="29">
        <f t="shared" si="2"/>
        <v>-0.002</v>
      </c>
      <c r="G15" s="30"/>
      <c r="H15" s="31">
        <f t="shared" si="3"/>
        <v>-2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2.601</v>
      </c>
      <c r="E16" s="29">
        <f t="shared" si="1"/>
        <v>-2.203</v>
      </c>
      <c r="F16" s="29">
        <f t="shared" si="2"/>
        <v>-0.002</v>
      </c>
      <c r="G16" s="30"/>
      <c r="H16" s="31">
        <f t="shared" si="3"/>
        <v>-2</v>
      </c>
    </row>
    <row r="17" ht="17.25" customHeight="1">
      <c r="A17" s="27" t="s">
        <v>23</v>
      </c>
      <c r="B17" s="28">
        <v>0.0</v>
      </c>
      <c r="C17" s="28">
        <v>0.43</v>
      </c>
      <c r="D17" s="28">
        <v>2.634</v>
      </c>
      <c r="E17" s="29">
        <f t="shared" si="1"/>
        <v>-2.204</v>
      </c>
      <c r="F17" s="29">
        <f t="shared" si="2"/>
        <v>-0.003</v>
      </c>
      <c r="G17" s="30"/>
      <c r="H17" s="31">
        <f t="shared" si="3"/>
        <v>-3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2.611</v>
      </c>
      <c r="E18" s="29">
        <f t="shared" si="1"/>
        <v>-2.202</v>
      </c>
      <c r="F18" s="29">
        <f t="shared" si="2"/>
        <v>-0.001</v>
      </c>
      <c r="G18" s="30"/>
      <c r="H18" s="31">
        <f t="shared" si="3"/>
        <v>-1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2.624</v>
      </c>
      <c r="E19" s="29">
        <f t="shared" si="1"/>
        <v>-2.202</v>
      </c>
      <c r="F19" s="29">
        <f t="shared" si="2"/>
        <v>-0.001</v>
      </c>
      <c r="G19" s="30"/>
      <c r="H19" s="31">
        <f t="shared" si="3"/>
        <v>-1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2.618</v>
      </c>
      <c r="E20" s="29">
        <f t="shared" si="1"/>
        <v>-2.203</v>
      </c>
      <c r="F20" s="29">
        <f t="shared" si="2"/>
        <v>-0.002</v>
      </c>
      <c r="G20" s="30"/>
      <c r="H20" s="31">
        <f t="shared" si="3"/>
        <v>-2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2.609</v>
      </c>
      <c r="E21" s="29">
        <f t="shared" si="1"/>
        <v>-2.202</v>
      </c>
      <c r="F21" s="29">
        <f t="shared" si="2"/>
        <v>-0.001</v>
      </c>
      <c r="G21" s="30"/>
      <c r="H21" s="31">
        <f t="shared" si="3"/>
        <v>-1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2.627</v>
      </c>
      <c r="E22" s="29">
        <f t="shared" si="1"/>
        <v>-2.202</v>
      </c>
      <c r="F22" s="29">
        <f t="shared" si="2"/>
        <v>-0.001</v>
      </c>
      <c r="G22" s="30"/>
      <c r="H22" s="31">
        <f t="shared" si="3"/>
        <v>-1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47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48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49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2.571</v>
      </c>
      <c r="E12" s="29">
        <f t="shared" ref="E12:E22" si="1">B12+C12-D12</f>
        <v>-2.181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2.595</v>
      </c>
      <c r="E13" s="29">
        <f t="shared" si="1"/>
        <v>-2.182</v>
      </c>
      <c r="F13" s="29">
        <f t="shared" si="2"/>
        <v>-0.001</v>
      </c>
      <c r="G13" s="30"/>
      <c r="H13" s="31">
        <f t="shared" si="3"/>
        <v>-1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2.609</v>
      </c>
      <c r="E14" s="29">
        <f t="shared" si="1"/>
        <v>-2.184</v>
      </c>
      <c r="F14" s="29">
        <f t="shared" si="2"/>
        <v>-0.003</v>
      </c>
      <c r="G14" s="30"/>
      <c r="H14" s="31">
        <f t="shared" si="3"/>
        <v>-3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2.584</v>
      </c>
      <c r="E15" s="29">
        <f t="shared" si="1"/>
        <v>-2.183</v>
      </c>
      <c r="F15" s="29">
        <f t="shared" si="2"/>
        <v>-0.002</v>
      </c>
      <c r="G15" s="30"/>
      <c r="H15" s="31">
        <f t="shared" si="3"/>
        <v>-2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2.58</v>
      </c>
      <c r="E16" s="29">
        <f t="shared" si="1"/>
        <v>-2.182</v>
      </c>
      <c r="F16" s="29">
        <f t="shared" si="2"/>
        <v>-0.001</v>
      </c>
      <c r="G16" s="30"/>
      <c r="H16" s="31">
        <f t="shared" si="3"/>
        <v>-1</v>
      </c>
    </row>
    <row r="17" ht="17.25" customHeight="1">
      <c r="A17" s="27" t="s">
        <v>23</v>
      </c>
      <c r="B17" s="28">
        <v>0.0</v>
      </c>
      <c r="C17" s="28">
        <v>0.43</v>
      </c>
      <c r="D17" s="28">
        <v>2.612</v>
      </c>
      <c r="E17" s="29">
        <f t="shared" si="1"/>
        <v>-2.182</v>
      </c>
      <c r="F17" s="29">
        <f t="shared" si="2"/>
        <v>-0.001</v>
      </c>
      <c r="G17" s="30"/>
      <c r="H17" s="31">
        <f t="shared" si="3"/>
        <v>-1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2.592</v>
      </c>
      <c r="E18" s="29">
        <f t="shared" si="1"/>
        <v>-2.183</v>
      </c>
      <c r="F18" s="29">
        <f t="shared" si="2"/>
        <v>-0.002</v>
      </c>
      <c r="G18" s="30"/>
      <c r="H18" s="31">
        <f t="shared" si="3"/>
        <v>-2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2.605</v>
      </c>
      <c r="E19" s="29">
        <f t="shared" si="1"/>
        <v>-2.183</v>
      </c>
      <c r="F19" s="29">
        <f t="shared" si="2"/>
        <v>-0.002</v>
      </c>
      <c r="G19" s="30"/>
      <c r="H19" s="31">
        <f t="shared" si="3"/>
        <v>-2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2.597</v>
      </c>
      <c r="E20" s="29">
        <f t="shared" si="1"/>
        <v>-2.182</v>
      </c>
      <c r="F20" s="29">
        <f t="shared" si="2"/>
        <v>-0.001</v>
      </c>
      <c r="G20" s="30"/>
      <c r="H20" s="31">
        <f t="shared" si="3"/>
        <v>-1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2.589</v>
      </c>
      <c r="E21" s="29">
        <f t="shared" si="1"/>
        <v>-2.182</v>
      </c>
      <c r="F21" s="29">
        <f t="shared" si="2"/>
        <v>-0.001</v>
      </c>
      <c r="G21" s="30"/>
      <c r="H21" s="31">
        <f t="shared" si="3"/>
        <v>-1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2.609</v>
      </c>
      <c r="E22" s="29">
        <f t="shared" si="1"/>
        <v>-2.184</v>
      </c>
      <c r="F22" s="29">
        <f t="shared" si="2"/>
        <v>-0.003</v>
      </c>
      <c r="G22" s="30"/>
      <c r="H22" s="31">
        <f t="shared" si="3"/>
        <v>-3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7" width="15.63"/>
    <col customWidth="1" min="8" max="8" width="13.2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 t="s">
        <v>50</v>
      </c>
    </row>
    <row r="2" ht="9.75" customHeight="1">
      <c r="A2" s="5"/>
      <c r="B2" s="6"/>
      <c r="C2" s="6"/>
      <c r="D2" s="6"/>
      <c r="E2" s="6"/>
      <c r="F2" s="6"/>
      <c r="G2" s="7"/>
      <c r="H2" s="4"/>
    </row>
    <row r="3" ht="16.5" customHeight="1">
      <c r="A3" s="8" t="s">
        <v>2</v>
      </c>
      <c r="B3" s="9"/>
      <c r="C3" s="9"/>
      <c r="D3" s="9"/>
      <c r="E3" s="9"/>
      <c r="F3" s="9"/>
      <c r="G3" s="10"/>
      <c r="H3" s="4"/>
    </row>
    <row r="4" ht="16.5" customHeight="1">
      <c r="A4" s="8" t="str">
        <f>P.1!$A$4</f>
        <v>■  현장명(Site) : 용산구 한남동 383일대 근린생활시설 신축공사</v>
      </c>
      <c r="B4" s="11"/>
      <c r="C4" s="9"/>
      <c r="D4" s="9"/>
      <c r="E4" s="9"/>
      <c r="F4" s="9"/>
      <c r="G4" s="10"/>
      <c r="H4" s="4"/>
    </row>
    <row r="5" ht="16.5" customHeight="1">
      <c r="A5" s="8" t="s">
        <v>51</v>
      </c>
      <c r="B5" s="9"/>
      <c r="C5" s="9"/>
      <c r="D5" s="9"/>
      <c r="E5" s="9"/>
      <c r="F5" s="9"/>
      <c r="G5" s="10"/>
      <c r="H5" s="4"/>
    </row>
    <row r="6" ht="16.5" customHeight="1">
      <c r="A6" s="8" t="s">
        <v>5</v>
      </c>
      <c r="B6" s="9"/>
      <c r="C6" s="9"/>
      <c r="D6" s="9"/>
      <c r="E6" s="9"/>
      <c r="F6" s="9"/>
      <c r="G6" s="10"/>
      <c r="H6" s="4"/>
    </row>
    <row r="7" ht="16.5" customHeight="1">
      <c r="A7" s="8" t="s">
        <v>52</v>
      </c>
      <c r="B7" s="9"/>
      <c r="C7" s="9"/>
      <c r="D7" s="9"/>
      <c r="E7" s="9"/>
      <c r="F7" s="9"/>
      <c r="G7" s="10"/>
      <c r="H7" s="4"/>
    </row>
    <row r="8" ht="9.75" customHeight="1">
      <c r="A8" s="12"/>
      <c r="B8" s="13"/>
      <c r="C8" s="13"/>
      <c r="D8" s="13"/>
      <c r="E8" s="13"/>
      <c r="F8" s="13"/>
      <c r="G8" s="14"/>
      <c r="H8" s="4"/>
    </row>
    <row r="9" ht="129.75" customHeight="1">
      <c r="A9" s="15"/>
      <c r="B9" s="16"/>
      <c r="C9" s="16"/>
      <c r="D9" s="16"/>
      <c r="E9" s="16"/>
      <c r="F9" s="16"/>
      <c r="G9" s="17"/>
    </row>
    <row r="10" ht="22.5" customHeight="1">
      <c r="A10" s="18" t="s">
        <v>7</v>
      </c>
      <c r="B10" s="19" t="s">
        <v>8</v>
      </c>
      <c r="C10" s="20" t="s">
        <v>9</v>
      </c>
      <c r="D10" s="19" t="s">
        <v>10</v>
      </c>
      <c r="E10" s="19" t="s">
        <v>11</v>
      </c>
      <c r="F10" s="19" t="s">
        <v>12</v>
      </c>
      <c r="G10" s="21" t="s">
        <v>13</v>
      </c>
      <c r="H10" s="22" t="s">
        <v>14</v>
      </c>
    </row>
    <row r="11" ht="15.75" customHeight="1">
      <c r="A11" s="23"/>
      <c r="B11" s="24" t="s">
        <v>15</v>
      </c>
      <c r="C11" s="25" t="s">
        <v>15</v>
      </c>
      <c r="D11" s="24" t="s">
        <v>15</v>
      </c>
      <c r="E11" s="24" t="s">
        <v>15</v>
      </c>
      <c r="F11" s="24" t="s">
        <v>15</v>
      </c>
      <c r="G11" s="26"/>
      <c r="H11" s="22" t="s">
        <v>16</v>
      </c>
    </row>
    <row r="12" ht="17.25" customHeight="1">
      <c r="A12" s="27" t="str">
        <f>P.1!A12</f>
        <v>2025.10.30</v>
      </c>
      <c r="B12" s="28">
        <v>0.0</v>
      </c>
      <c r="C12" s="28">
        <v>0.39</v>
      </c>
      <c r="D12" s="28">
        <v>2.507</v>
      </c>
      <c r="E12" s="29">
        <f t="shared" ref="E12:E22" si="1">B12+C12-D12</f>
        <v>-2.117</v>
      </c>
      <c r="F12" s="29">
        <f t="shared" ref="F12:F22" si="2">E12-$E$12</f>
        <v>0</v>
      </c>
      <c r="G12" s="30" t="s">
        <v>18</v>
      </c>
      <c r="H12" s="31">
        <f t="shared" ref="H12:H22" si="3">F12*1000</f>
        <v>0</v>
      </c>
    </row>
    <row r="13" ht="17.25" customHeight="1">
      <c r="A13" s="27" t="str">
        <f>P.1!A13</f>
        <v>2025.11.03</v>
      </c>
      <c r="B13" s="28">
        <v>0.0</v>
      </c>
      <c r="C13" s="28">
        <v>0.413</v>
      </c>
      <c r="D13" s="28">
        <v>2.531</v>
      </c>
      <c r="E13" s="29">
        <f t="shared" si="1"/>
        <v>-2.118</v>
      </c>
      <c r="F13" s="29">
        <f t="shared" si="2"/>
        <v>-0.001</v>
      </c>
      <c r="G13" s="30"/>
      <c r="H13" s="31">
        <f t="shared" si="3"/>
        <v>-1</v>
      </c>
    </row>
    <row r="14" ht="17.25" customHeight="1">
      <c r="A14" s="27" t="s">
        <v>20</v>
      </c>
      <c r="B14" s="28">
        <v>0.0</v>
      </c>
      <c r="C14" s="28">
        <v>0.425</v>
      </c>
      <c r="D14" s="28">
        <v>2.543</v>
      </c>
      <c r="E14" s="29">
        <f t="shared" si="1"/>
        <v>-2.118</v>
      </c>
      <c r="F14" s="29">
        <f t="shared" si="2"/>
        <v>-0.001</v>
      </c>
      <c r="G14" s="30"/>
      <c r="H14" s="31">
        <f t="shared" si="3"/>
        <v>-1</v>
      </c>
    </row>
    <row r="15" ht="17.25" customHeight="1">
      <c r="A15" s="27" t="s">
        <v>21</v>
      </c>
      <c r="B15" s="28">
        <v>0.0</v>
      </c>
      <c r="C15" s="28">
        <v>0.401</v>
      </c>
      <c r="D15" s="28">
        <v>2.52</v>
      </c>
      <c r="E15" s="29">
        <f t="shared" si="1"/>
        <v>-2.119</v>
      </c>
      <c r="F15" s="29">
        <f t="shared" si="2"/>
        <v>-0.002</v>
      </c>
      <c r="G15" s="30"/>
      <c r="H15" s="31">
        <f t="shared" si="3"/>
        <v>-2</v>
      </c>
    </row>
    <row r="16" ht="17.25" customHeight="1">
      <c r="A16" s="27" t="s">
        <v>22</v>
      </c>
      <c r="B16" s="28">
        <v>0.0</v>
      </c>
      <c r="C16" s="28">
        <v>0.398</v>
      </c>
      <c r="D16" s="28">
        <v>2.516</v>
      </c>
      <c r="E16" s="29">
        <f t="shared" si="1"/>
        <v>-2.118</v>
      </c>
      <c r="F16" s="29">
        <f t="shared" si="2"/>
        <v>-0.001</v>
      </c>
      <c r="G16" s="30"/>
      <c r="H16" s="31">
        <f t="shared" si="3"/>
        <v>-1</v>
      </c>
    </row>
    <row r="17" ht="17.25" customHeight="1">
      <c r="A17" s="27" t="s">
        <v>23</v>
      </c>
      <c r="B17" s="28">
        <v>0.0</v>
      </c>
      <c r="C17" s="28">
        <v>0.43</v>
      </c>
      <c r="D17" s="28">
        <v>2.55</v>
      </c>
      <c r="E17" s="29">
        <f t="shared" si="1"/>
        <v>-2.12</v>
      </c>
      <c r="F17" s="29">
        <f t="shared" si="2"/>
        <v>-0.003</v>
      </c>
      <c r="G17" s="30"/>
      <c r="H17" s="31">
        <f t="shared" si="3"/>
        <v>-3</v>
      </c>
    </row>
    <row r="18" ht="17.25" customHeight="1">
      <c r="A18" s="27" t="s">
        <v>24</v>
      </c>
      <c r="B18" s="28">
        <v>0.0</v>
      </c>
      <c r="C18" s="28">
        <v>0.409</v>
      </c>
      <c r="D18" s="28">
        <v>2.528</v>
      </c>
      <c r="E18" s="29">
        <f t="shared" si="1"/>
        <v>-2.119</v>
      </c>
      <c r="F18" s="29">
        <f t="shared" si="2"/>
        <v>-0.002</v>
      </c>
      <c r="G18" s="30"/>
      <c r="H18" s="31">
        <f t="shared" si="3"/>
        <v>-2</v>
      </c>
    </row>
    <row r="19" ht="17.25" customHeight="1">
      <c r="A19" s="27" t="s">
        <v>25</v>
      </c>
      <c r="B19" s="28">
        <v>0.0</v>
      </c>
      <c r="C19" s="28">
        <v>0.422</v>
      </c>
      <c r="D19" s="28">
        <v>2.541</v>
      </c>
      <c r="E19" s="29">
        <f t="shared" si="1"/>
        <v>-2.119</v>
      </c>
      <c r="F19" s="29">
        <f t="shared" si="2"/>
        <v>-0.002</v>
      </c>
      <c r="G19" s="30"/>
      <c r="H19" s="31">
        <f t="shared" si="3"/>
        <v>-2</v>
      </c>
    </row>
    <row r="20" ht="17.25" customHeight="1">
      <c r="A20" s="27" t="s">
        <v>26</v>
      </c>
      <c r="B20" s="28">
        <v>0.0</v>
      </c>
      <c r="C20" s="28">
        <v>0.415</v>
      </c>
      <c r="D20" s="28">
        <v>2.533</v>
      </c>
      <c r="E20" s="29">
        <f t="shared" si="1"/>
        <v>-2.118</v>
      </c>
      <c r="F20" s="29">
        <f t="shared" si="2"/>
        <v>-0.001</v>
      </c>
      <c r="G20" s="30"/>
      <c r="H20" s="31">
        <f t="shared" si="3"/>
        <v>-1</v>
      </c>
    </row>
    <row r="21" ht="17.25" customHeight="1">
      <c r="A21" s="27" t="s">
        <v>27</v>
      </c>
      <c r="B21" s="28">
        <v>0.0</v>
      </c>
      <c r="C21" s="28">
        <v>0.407</v>
      </c>
      <c r="D21" s="28">
        <v>2.525</v>
      </c>
      <c r="E21" s="29">
        <f t="shared" si="1"/>
        <v>-2.118</v>
      </c>
      <c r="F21" s="29">
        <f t="shared" si="2"/>
        <v>-0.001</v>
      </c>
      <c r="G21" s="30"/>
      <c r="H21" s="31">
        <f t="shared" si="3"/>
        <v>-1</v>
      </c>
    </row>
    <row r="22" ht="17.25" customHeight="1">
      <c r="A22" s="27" t="s">
        <v>28</v>
      </c>
      <c r="B22" s="28">
        <v>0.0</v>
      </c>
      <c r="C22" s="28">
        <v>0.425</v>
      </c>
      <c r="D22" s="28">
        <v>2.544</v>
      </c>
      <c r="E22" s="29">
        <f t="shared" si="1"/>
        <v>-2.119</v>
      </c>
      <c r="F22" s="29">
        <f t="shared" si="2"/>
        <v>-0.002</v>
      </c>
      <c r="G22" s="30"/>
      <c r="H22" s="31">
        <f t="shared" si="3"/>
        <v>-2</v>
      </c>
    </row>
    <row r="23" ht="17.25" customHeight="1">
      <c r="A23" s="27"/>
      <c r="B23" s="28"/>
      <c r="C23" s="28"/>
      <c r="D23" s="28"/>
      <c r="E23" s="29"/>
      <c r="F23" s="29"/>
      <c r="G23" s="30"/>
      <c r="H23" s="31"/>
    </row>
    <row r="24" ht="17.25" customHeight="1">
      <c r="A24" s="27"/>
      <c r="B24" s="28"/>
      <c r="C24" s="28"/>
      <c r="D24" s="28"/>
      <c r="E24" s="29"/>
      <c r="F24" s="29"/>
      <c r="G24" s="30"/>
      <c r="H24" s="31"/>
    </row>
    <row r="25" ht="17.25" customHeight="1">
      <c r="A25" s="27"/>
      <c r="B25" s="28"/>
      <c r="C25" s="28"/>
      <c r="D25" s="28"/>
      <c r="E25" s="29"/>
      <c r="F25" s="29"/>
      <c r="G25" s="30"/>
      <c r="H25" s="31"/>
    </row>
    <row r="26" ht="17.25" customHeight="1">
      <c r="A26" s="27"/>
      <c r="B26" s="28"/>
      <c r="C26" s="28"/>
      <c r="D26" s="28"/>
      <c r="E26" s="29"/>
      <c r="F26" s="29"/>
      <c r="G26" s="30"/>
      <c r="H26" s="31"/>
    </row>
    <row r="27" ht="17.25" customHeight="1">
      <c r="A27" s="27"/>
      <c r="B27" s="28"/>
      <c r="C27" s="28"/>
      <c r="D27" s="28"/>
      <c r="E27" s="29"/>
      <c r="F27" s="29"/>
      <c r="G27" s="30"/>
      <c r="H27" s="31"/>
    </row>
    <row r="28" ht="17.25" customHeight="1">
      <c r="A28" s="27"/>
      <c r="B28" s="28"/>
      <c r="C28" s="28"/>
      <c r="D28" s="28"/>
      <c r="E28" s="29"/>
      <c r="F28" s="29"/>
      <c r="G28" s="30"/>
      <c r="H28" s="31"/>
    </row>
    <row r="29" ht="17.25" customHeight="1">
      <c r="A29" s="27"/>
      <c r="B29" s="28"/>
      <c r="C29" s="28"/>
      <c r="D29" s="28"/>
      <c r="E29" s="29"/>
      <c r="F29" s="29"/>
      <c r="G29" s="30"/>
      <c r="H29" s="31"/>
    </row>
    <row r="30" ht="17.25" customHeight="1">
      <c r="A30" s="27"/>
      <c r="B30" s="28"/>
      <c r="C30" s="28"/>
      <c r="D30" s="28"/>
      <c r="E30" s="29"/>
      <c r="F30" s="29"/>
      <c r="G30" s="30"/>
      <c r="H30" s="31"/>
    </row>
    <row r="31" ht="17.25" customHeight="1">
      <c r="A31" s="27"/>
      <c r="B31" s="28"/>
      <c r="C31" s="28"/>
      <c r="D31" s="28"/>
      <c r="E31" s="29"/>
      <c r="F31" s="29"/>
      <c r="G31" s="30"/>
      <c r="H31" s="31"/>
    </row>
    <row r="32" ht="17.25" customHeight="1">
      <c r="A32" s="27"/>
      <c r="B32" s="28"/>
      <c r="C32" s="28"/>
      <c r="D32" s="28"/>
      <c r="E32" s="29"/>
      <c r="F32" s="29"/>
      <c r="G32" s="30"/>
      <c r="H32" s="31"/>
    </row>
    <row r="33" ht="17.25" customHeight="1">
      <c r="A33" s="27"/>
      <c r="B33" s="28"/>
      <c r="C33" s="28"/>
      <c r="D33" s="28"/>
      <c r="E33" s="29"/>
      <c r="F33" s="29"/>
      <c r="G33" s="30"/>
      <c r="H33" s="31"/>
    </row>
    <row r="34" ht="17.25" customHeight="1">
      <c r="A34" s="27"/>
      <c r="B34" s="28"/>
      <c r="C34" s="28"/>
      <c r="D34" s="28"/>
      <c r="E34" s="29"/>
      <c r="F34" s="29"/>
      <c r="G34" s="30"/>
      <c r="H34" s="31"/>
    </row>
    <row r="35" ht="17.25" customHeight="1">
      <c r="A35" s="27"/>
      <c r="B35" s="28"/>
      <c r="C35" s="28"/>
      <c r="D35" s="28"/>
      <c r="E35" s="29"/>
      <c r="F35" s="29"/>
      <c r="G35" s="30"/>
      <c r="H35" s="31"/>
    </row>
    <row r="36" ht="17.25" customHeight="1">
      <c r="A36" s="27"/>
      <c r="B36" s="28"/>
      <c r="C36" s="28"/>
      <c r="D36" s="28"/>
      <c r="E36" s="29"/>
      <c r="F36" s="29"/>
      <c r="G36" s="30"/>
      <c r="H36" s="31"/>
    </row>
    <row r="37" ht="17.25" customHeight="1">
      <c r="A37" s="27"/>
      <c r="B37" s="28"/>
      <c r="C37" s="28"/>
      <c r="D37" s="28"/>
      <c r="E37" s="29"/>
      <c r="F37" s="29"/>
      <c r="G37" s="30"/>
      <c r="H37" s="31"/>
    </row>
    <row r="38" ht="17.25" customHeight="1">
      <c r="A38" s="27"/>
      <c r="B38" s="28"/>
      <c r="C38" s="28"/>
      <c r="D38" s="28"/>
      <c r="E38" s="29"/>
      <c r="F38" s="29"/>
      <c r="G38" s="30"/>
      <c r="H38" s="31"/>
    </row>
    <row r="39" ht="17.25" customHeight="1">
      <c r="A39" s="27"/>
      <c r="B39" s="28"/>
      <c r="C39" s="28"/>
      <c r="D39" s="28"/>
      <c r="E39" s="29"/>
      <c r="F39" s="29"/>
      <c r="G39" s="30"/>
      <c r="H39" s="31"/>
    </row>
    <row r="40" ht="17.25" customHeight="1">
      <c r="A40" s="27"/>
      <c r="B40" s="28"/>
      <c r="C40" s="28"/>
      <c r="D40" s="28"/>
      <c r="E40" s="29"/>
      <c r="F40" s="29"/>
      <c r="G40" s="30"/>
      <c r="H40" s="31"/>
    </row>
    <row r="41" ht="17.25" customHeight="1">
      <c r="A41" s="27"/>
      <c r="B41" s="28"/>
      <c r="C41" s="28"/>
      <c r="D41" s="28"/>
      <c r="E41" s="29"/>
      <c r="F41" s="29"/>
      <c r="G41" s="30"/>
      <c r="H41" s="31"/>
    </row>
    <row r="42" ht="17.25" customHeight="1">
      <c r="A42" s="27"/>
      <c r="B42" s="28"/>
      <c r="C42" s="28"/>
      <c r="D42" s="28"/>
      <c r="E42" s="29"/>
      <c r="F42" s="29"/>
      <c r="G42" s="30"/>
      <c r="H42" s="31"/>
    </row>
    <row r="43" ht="17.25" customHeight="1">
      <c r="A43" s="27"/>
      <c r="B43" s="28"/>
      <c r="C43" s="28"/>
      <c r="D43" s="28"/>
      <c r="E43" s="29"/>
      <c r="F43" s="29"/>
      <c r="G43" s="30"/>
      <c r="H43" s="31"/>
    </row>
    <row r="44" ht="17.25" customHeight="1">
      <c r="A44" s="27"/>
      <c r="B44" s="28"/>
      <c r="C44" s="28"/>
      <c r="D44" s="28"/>
      <c r="E44" s="29"/>
      <c r="F44" s="29"/>
      <c r="G44" s="30"/>
      <c r="H44" s="31"/>
    </row>
    <row r="45" ht="17.25" customHeight="1">
      <c r="A45" s="27"/>
      <c r="B45" s="28"/>
      <c r="C45" s="28"/>
      <c r="D45" s="28"/>
      <c r="E45" s="29"/>
      <c r="F45" s="29"/>
      <c r="G45" s="30"/>
      <c r="H45" s="31"/>
    </row>
    <row r="46" ht="17.25" customHeight="1">
      <c r="A46" s="27"/>
      <c r="B46" s="28"/>
      <c r="C46" s="28"/>
      <c r="D46" s="28"/>
      <c r="E46" s="29"/>
      <c r="F46" s="29"/>
      <c r="G46" s="30"/>
      <c r="H46" s="31"/>
    </row>
    <row r="47" ht="17.25" customHeight="1">
      <c r="A47" s="27"/>
      <c r="B47" s="28"/>
      <c r="C47" s="28"/>
      <c r="D47" s="28"/>
      <c r="E47" s="29"/>
      <c r="F47" s="29"/>
      <c r="G47" s="30"/>
      <c r="H47" s="31"/>
    </row>
    <row r="48" ht="17.25" customHeight="1">
      <c r="A48" s="27"/>
      <c r="B48" s="28"/>
      <c r="C48" s="28"/>
      <c r="D48" s="28"/>
      <c r="E48" s="29"/>
      <c r="F48" s="29"/>
      <c r="G48" s="30"/>
      <c r="H48" s="31"/>
    </row>
    <row r="49" ht="17.25" customHeight="1">
      <c r="A49" s="27"/>
      <c r="B49" s="28"/>
      <c r="C49" s="28"/>
      <c r="D49" s="28"/>
      <c r="E49" s="29"/>
      <c r="F49" s="29"/>
      <c r="G49" s="30"/>
      <c r="H49" s="31"/>
    </row>
    <row r="50" ht="17.25" customHeight="1">
      <c r="A50" s="27"/>
      <c r="B50" s="28"/>
      <c r="C50" s="28"/>
      <c r="D50" s="28"/>
      <c r="E50" s="29"/>
      <c r="F50" s="29"/>
      <c r="G50" s="30"/>
      <c r="H50" s="31"/>
    </row>
    <row r="51" ht="17.25" customHeight="1">
      <c r="A51" s="27"/>
      <c r="B51" s="28"/>
      <c r="C51" s="28"/>
      <c r="D51" s="28"/>
      <c r="E51" s="29"/>
      <c r="F51" s="29"/>
      <c r="G51" s="30"/>
      <c r="H51" s="31"/>
    </row>
    <row r="52" ht="17.25" customHeight="1">
      <c r="A52" s="27"/>
      <c r="B52" s="28"/>
      <c r="C52" s="28"/>
      <c r="D52" s="28"/>
      <c r="E52" s="29"/>
      <c r="F52" s="29"/>
      <c r="G52" s="30"/>
      <c r="H52" s="31"/>
    </row>
    <row r="53" ht="17.25" customHeight="1">
      <c r="A53" s="27"/>
      <c r="B53" s="28"/>
      <c r="C53" s="28"/>
      <c r="D53" s="28"/>
      <c r="E53" s="29"/>
      <c r="F53" s="29"/>
      <c r="G53" s="30"/>
      <c r="H53" s="31"/>
    </row>
    <row r="54" ht="17.25" customHeight="1">
      <c r="A54" s="27"/>
      <c r="B54" s="28"/>
      <c r="C54" s="28"/>
      <c r="D54" s="28"/>
      <c r="E54" s="29"/>
      <c r="F54" s="29"/>
      <c r="G54" s="30"/>
      <c r="H54" s="31"/>
    </row>
    <row r="55" ht="17.25" customHeight="1">
      <c r="A55" s="27"/>
      <c r="B55" s="28"/>
      <c r="C55" s="28"/>
      <c r="D55" s="28"/>
      <c r="E55" s="29"/>
      <c r="F55" s="29"/>
      <c r="G55" s="30"/>
      <c r="H55" s="31"/>
    </row>
    <row r="56" ht="17.25" customHeight="1">
      <c r="A56" s="27"/>
      <c r="B56" s="28"/>
      <c r="C56" s="28"/>
      <c r="D56" s="28"/>
      <c r="E56" s="29"/>
      <c r="F56" s="29"/>
      <c r="G56" s="30"/>
      <c r="H56" s="31"/>
    </row>
    <row r="57" ht="17.25" customHeight="1">
      <c r="A57" s="27"/>
      <c r="B57" s="28"/>
      <c r="C57" s="28"/>
      <c r="D57" s="28"/>
      <c r="E57" s="29"/>
      <c r="F57" s="29"/>
      <c r="G57" s="30"/>
      <c r="H57" s="31"/>
    </row>
    <row r="58" ht="17.25" customHeight="1">
      <c r="A58" s="32"/>
      <c r="B58" s="33"/>
      <c r="C58" s="33"/>
      <c r="D58" s="33"/>
      <c r="E58" s="34"/>
      <c r="F58" s="34"/>
      <c r="G58" s="35"/>
      <c r="H58" s="31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9:G9"/>
    <mergeCell ref="A10:A11"/>
    <mergeCell ref="G10:G11"/>
  </mergeCells>
  <printOptions/>
  <pageMargins bottom="0.75" footer="0.0" header="0.0" left="0.7" right="0.7" top="0.75"/>
  <pageSetup orientation="landscape"/>
  <drawing r:id="rId1"/>
</worksheet>
</file>