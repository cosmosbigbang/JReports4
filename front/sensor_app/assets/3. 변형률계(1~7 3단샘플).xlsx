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간지" sheetId="1" r:id="rId4"/>
    <sheet state="visible" name="S1-1,3 STRUT (3) 배면 좌" sheetId="2" r:id="rId5"/>
    <sheet state="visible" name="S2-1,3 STRUT (4)배면 우" sheetId="3" r:id="rId6"/>
    <sheet state="visible" name="S3-1,2,3 STRUT (5)" sheetId="4" r:id="rId7"/>
    <sheet state="visible" name="S4-1, STRUT (6)" sheetId="5" r:id="rId8"/>
    <sheet state="visible" name="S5-1 STRUT (4)배면 우 (2)" sheetId="6" r:id="rId9"/>
    <sheet state="visible" name="S6-1,2,3 STRUT (6)" sheetId="7" r:id="rId10"/>
    <sheet state="visible" name="S7-1,2,3 STRUT (7)" sheetId="8" r:id="rId11"/>
  </sheets>
  <definedNames/>
  <calcPr/>
</workbook>
</file>

<file path=xl/sharedStrings.xml><?xml version="1.0" encoding="utf-8"?>
<sst xmlns="http://schemas.openxmlformats.org/spreadsheetml/2006/main" count="217" uniqueCount="47">
  <si>
    <t>03</t>
  </si>
  <si>
    <t>변형률계</t>
  </si>
  <si>
    <t>STRAIN GAUGE</t>
  </si>
  <si>
    <t>DATA SHEET</t>
  </si>
  <si>
    <t>Strain Gauge Data Sheet</t>
  </si>
  <si>
    <t>현  장  명 : 용산구 한남동 383일대 근린생활시설 신축공사</t>
  </si>
  <si>
    <t>설 치 위 치 : S1-1,2,3 - STRUT(도면참조)</t>
  </si>
  <si>
    <t>측정일</t>
  </si>
  <si>
    <r>
      <rPr>
        <rFont val="Malgun Gothic"/>
        <color theme="1"/>
        <sz val="8.0"/>
      </rPr>
      <t>측정치(</t>
    </r>
    <r>
      <rPr>
        <rFont val="돋움"/>
        <color theme="1"/>
        <sz val="8.0"/>
      </rPr>
      <t>µε</t>
    </r>
    <r>
      <rPr>
        <rFont val="맑은 고딕"/>
        <color theme="1"/>
        <sz val="8.0"/>
      </rPr>
      <t>)</t>
    </r>
  </si>
  <si>
    <t>응력(kg/㎠)</t>
  </si>
  <si>
    <t>응력(Mpa)</t>
  </si>
  <si>
    <t>축력(Ton)</t>
  </si>
  <si>
    <t>비 고</t>
  </si>
  <si>
    <t>1단</t>
  </si>
  <si>
    <t>2단</t>
  </si>
  <si>
    <t>3단</t>
  </si>
  <si>
    <t>S1-1</t>
  </si>
  <si>
    <t>S1-2</t>
  </si>
  <si>
    <t>S1-3</t>
  </si>
  <si>
    <t>설 치 위 치 : S2-1,2,3 - STRUT(도면참조)</t>
  </si>
  <si>
    <r>
      <rPr>
        <rFont val="Malgun Gothic"/>
        <color theme="1"/>
        <sz val="8.0"/>
      </rPr>
      <t>측정치(</t>
    </r>
    <r>
      <rPr>
        <rFont val="돋움"/>
        <color theme="1"/>
        <sz val="8.0"/>
      </rPr>
      <t>µε</t>
    </r>
    <r>
      <rPr>
        <rFont val="맑은 고딕"/>
        <color theme="1"/>
        <sz val="8.0"/>
      </rPr>
      <t>)</t>
    </r>
  </si>
  <si>
    <t>S2-1</t>
  </si>
  <si>
    <t>S2-2</t>
  </si>
  <si>
    <t>S2-3</t>
  </si>
  <si>
    <t>설 치 위 치 : S3-1,2,3 - STRUT(도면참조)</t>
  </si>
  <si>
    <r>
      <rPr>
        <rFont val="Malgun Gothic"/>
        <color theme="1"/>
        <sz val="8.0"/>
      </rPr>
      <t>측정치(</t>
    </r>
    <r>
      <rPr>
        <rFont val="돋움"/>
        <color theme="1"/>
        <sz val="8.0"/>
      </rPr>
      <t>µε</t>
    </r>
    <r>
      <rPr>
        <rFont val="맑은 고딕"/>
        <color theme="1"/>
        <sz val="8.0"/>
      </rPr>
      <t>)</t>
    </r>
  </si>
  <si>
    <t>S3-1</t>
  </si>
  <si>
    <t>S3-2</t>
  </si>
  <si>
    <t>S3-3</t>
  </si>
  <si>
    <t>현장앞쪽 메인</t>
  </si>
  <si>
    <t>설 치 위 치 : S4-1 - STRUT(도면참조)</t>
  </si>
  <si>
    <r>
      <rPr>
        <rFont val="Malgun Gothic"/>
        <color theme="1"/>
        <sz val="8.0"/>
      </rPr>
      <t>측정치(</t>
    </r>
    <r>
      <rPr>
        <rFont val="돋움"/>
        <color theme="1"/>
        <sz val="8.0"/>
      </rPr>
      <t>µε</t>
    </r>
    <r>
      <rPr>
        <rFont val="맑은 고딕"/>
        <color theme="1"/>
        <sz val="8.0"/>
      </rPr>
      <t>)</t>
    </r>
  </si>
  <si>
    <t>S4-1</t>
  </si>
  <si>
    <t>현장 뒤 메인</t>
  </si>
  <si>
    <t>설 치 위 치 : S5-1 - STRUT(도면참조)</t>
  </si>
  <si>
    <r>
      <rPr>
        <rFont val="Malgun Gothic"/>
        <color theme="1"/>
        <sz val="8.0"/>
      </rPr>
      <t>측정치(</t>
    </r>
    <r>
      <rPr>
        <rFont val="돋움"/>
        <color theme="1"/>
        <sz val="8.0"/>
      </rPr>
      <t>µε</t>
    </r>
    <r>
      <rPr>
        <rFont val="맑은 고딕"/>
        <color theme="1"/>
        <sz val="8.0"/>
      </rPr>
      <t>)</t>
    </r>
  </si>
  <si>
    <t>S5-1</t>
  </si>
  <si>
    <t>설 치 위 치 : S6-1,2,3 - STRUT(도면참조)</t>
  </si>
  <si>
    <r>
      <rPr>
        <rFont val="Malgun Gothic"/>
        <color theme="1"/>
        <sz val="8.0"/>
      </rPr>
      <t>측정치(</t>
    </r>
    <r>
      <rPr>
        <rFont val="돋움"/>
        <color theme="1"/>
        <sz val="8.0"/>
      </rPr>
      <t>µε</t>
    </r>
    <r>
      <rPr>
        <rFont val="맑은 고딕"/>
        <color theme="1"/>
        <sz val="8.0"/>
      </rPr>
      <t>)</t>
    </r>
  </si>
  <si>
    <t>S6-1</t>
  </si>
  <si>
    <t>S6-2</t>
  </si>
  <si>
    <t>S6-3</t>
  </si>
  <si>
    <t>설 치 위 치 : S7-1,2,3 - STRUT(도면참조)</t>
  </si>
  <si>
    <r>
      <rPr>
        <rFont val="Malgun Gothic"/>
        <color theme="1"/>
        <sz val="8.0"/>
      </rPr>
      <t>측정치(</t>
    </r>
    <r>
      <rPr>
        <rFont val="돋움"/>
        <color theme="1"/>
        <sz val="8.0"/>
      </rPr>
      <t>µε</t>
    </r>
    <r>
      <rPr>
        <rFont val="맑은 고딕"/>
        <color theme="1"/>
        <sz val="8.0"/>
      </rPr>
      <t>)</t>
    </r>
  </si>
  <si>
    <t>S7-1</t>
  </si>
  <si>
    <t>S7-2</t>
  </si>
  <si>
    <t>S7-3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</si>
</sst>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_ "/>
    <numFmt numFmtId="165" formatCode="yyyy-mm-dd"/>
  </numFmts>
  <fonts count="22">
    <font>
      <sz val="11.0"/>
      <color rgb="FF000000"/>
      <name val="Calibri"/>
      <scheme val="minor"/>
    </font>
    <font>
      <b/>
      <sz val="150.0"/>
      <color rgb="FF00B0F0"/>
      <name val="Dotum"/>
    </font>
    <font>
      <sz val="72.0"/>
      <color theme="0"/>
      <name val="Dotum"/>
    </font>
    <font/>
    <font>
      <b/>
      <sz val="72.0"/>
      <color rgb="FF00B0F0"/>
      <name val="Dotum"/>
    </font>
    <font>
      <b/>
      <sz val="48.0"/>
      <color theme="1"/>
      <name val="Gulim"/>
    </font>
    <font>
      <b/>
      <sz val="11.0"/>
      <color theme="1"/>
      <name val="Dotum"/>
    </font>
    <font>
      <b/>
      <sz val="28.0"/>
      <color theme="1"/>
      <name val="Gulim"/>
    </font>
    <font>
      <b/>
      <sz val="28.0"/>
      <color rgb="FF00B0F0"/>
      <name val="Dotum"/>
    </font>
    <font>
      <b/>
      <sz val="14.0"/>
      <color theme="1"/>
      <name val="Malgun Gothic"/>
    </font>
    <font>
      <b/>
      <sz val="12.0"/>
      <color theme="1"/>
      <name val="Malgun Gothic"/>
    </font>
    <font>
      <sz val="12.0"/>
      <color theme="1"/>
      <name val="Malgun Gothic"/>
    </font>
    <font>
      <b/>
      <sz val="24.0"/>
      <color theme="1"/>
      <name val="Malgun Gothic"/>
    </font>
    <font>
      <b/>
      <sz val="11.0"/>
      <color theme="1"/>
      <name val="Malgun Gothic"/>
    </font>
    <font>
      <sz val="11.0"/>
      <color theme="1"/>
      <name val="Malgun Gothic"/>
    </font>
    <font>
      <b/>
      <sz val="9.0"/>
      <color theme="1"/>
      <name val="Malgun Gothic"/>
    </font>
    <font>
      <b/>
      <sz val="8.0"/>
      <color theme="1"/>
      <name val="Malgun Gothic"/>
    </font>
    <font>
      <sz val="8.0"/>
      <color theme="1"/>
      <name val="Malgun Gothic"/>
    </font>
    <font>
      <sz val="10.0"/>
      <color theme="1"/>
      <name val="Malgun Gothic"/>
    </font>
    <font>
      <sz val="6.0"/>
      <color theme="1"/>
      <name val="Malgun Gothic"/>
    </font>
    <font>
      <sz val="7.0"/>
      <color theme="1"/>
      <name val="Malgun Gothic"/>
    </font>
    <font>
      <sz val="5.0"/>
      <color theme="1"/>
      <name val="Malgun Gothic"/>
    </font>
  </fonts>
  <fills count="3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</fills>
  <borders count="28"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horizontal="left" vertical="top"/>
    </xf>
    <xf borderId="1" fillId="2" fontId="2" numFmtId="0" xfId="0" applyAlignment="1" applyBorder="1" applyFill="1" applyFont="1">
      <alignment horizontal="center" textRotation="255" vertical="center"/>
    </xf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0" fillId="0" fontId="4" numFmtId="49" xfId="0" applyAlignment="1" applyFont="1" applyNumberFormat="1">
      <alignment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vertical="top"/>
    </xf>
    <xf borderId="6" fillId="0" fontId="3" numFmtId="0" xfId="0" applyAlignment="1" applyBorder="1" applyFont="1">
      <alignment vertical="center"/>
    </xf>
    <xf borderId="7" fillId="0" fontId="3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  <xf borderId="0" fillId="0" fontId="8" numFmtId="0" xfId="0" applyAlignment="1" applyFont="1">
      <alignment horizontal="right" vertical="center"/>
    </xf>
    <xf borderId="9" fillId="0" fontId="9" numFmtId="0" xfId="0" applyAlignment="1" applyBorder="1" applyFont="1">
      <alignment horizontal="center" vertical="center"/>
    </xf>
    <xf borderId="10" fillId="0" fontId="3" numFmtId="0" xfId="0" applyAlignment="1" applyBorder="1" applyFont="1">
      <alignment vertical="center"/>
    </xf>
    <xf borderId="11" fillId="0" fontId="3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0" fillId="0" fontId="11" numFmtId="0" xfId="0" applyAlignment="1" applyFont="1">
      <alignment vertical="center"/>
    </xf>
    <xf borderId="12" fillId="0" fontId="12" numFmtId="0" xfId="0" applyAlignment="1" applyBorder="1" applyFont="1">
      <alignment vertical="center"/>
    </xf>
    <xf borderId="0" fillId="0" fontId="12" numFmtId="0" xfId="0" applyAlignment="1" applyFont="1">
      <alignment vertical="center"/>
    </xf>
    <xf borderId="0" fillId="0" fontId="13" numFmtId="0" xfId="0" applyAlignment="1" applyFont="1">
      <alignment vertical="center"/>
    </xf>
    <xf borderId="0" fillId="0" fontId="14" numFmtId="0" xfId="0" applyAlignment="1" applyFont="1">
      <alignment vertical="center"/>
    </xf>
    <xf borderId="13" fillId="0" fontId="13" numFmtId="0" xfId="0" applyAlignment="1" applyBorder="1" applyFont="1">
      <alignment vertical="center"/>
    </xf>
    <xf borderId="12" fillId="0" fontId="15" numFmtId="0" xfId="0" applyAlignment="1" applyBorder="1" applyFont="1">
      <alignment vertical="center"/>
    </xf>
    <xf borderId="0" fillId="0" fontId="16" numFmtId="0" xfId="0" applyAlignment="1" applyFont="1">
      <alignment vertical="center"/>
    </xf>
    <xf borderId="13" fillId="0" fontId="17" numFmtId="0" xfId="0" applyAlignment="1" applyBorder="1" applyFont="1">
      <alignment vertical="center"/>
    </xf>
    <xf borderId="0" fillId="0" fontId="17" numFmtId="0" xfId="0" applyAlignment="1" applyFont="1">
      <alignment vertical="center"/>
    </xf>
    <xf borderId="0" fillId="0" fontId="16" numFmtId="0" xfId="0" applyAlignment="1" applyFont="1">
      <alignment shrinkToFit="0" vertical="center" wrapText="1"/>
    </xf>
    <xf borderId="13" fillId="0" fontId="17" numFmtId="0" xfId="0" applyAlignment="1" applyBorder="1" applyFont="1">
      <alignment shrinkToFit="0" vertical="center" wrapText="1"/>
    </xf>
    <xf borderId="9" fillId="0" fontId="18" numFmtId="0" xfId="0" applyAlignment="1" applyBorder="1" applyFont="1">
      <alignment vertical="center"/>
    </xf>
    <xf borderId="10" fillId="0" fontId="18" numFmtId="0" xfId="0" applyAlignment="1" applyBorder="1" applyFont="1">
      <alignment vertical="center"/>
    </xf>
    <xf borderId="10" fillId="0" fontId="18" numFmtId="0" xfId="0" applyAlignment="1" applyBorder="1" applyFont="1">
      <alignment horizontal="right" vertical="center"/>
    </xf>
    <xf borderId="11" fillId="0" fontId="11" numFmtId="0" xfId="0" applyAlignment="1" applyBorder="1" applyFont="1">
      <alignment vertical="center"/>
    </xf>
    <xf borderId="12" fillId="0" fontId="18" numFmtId="0" xfId="0" applyAlignment="1" applyBorder="1" applyFont="1">
      <alignment vertical="center"/>
    </xf>
    <xf borderId="0" fillId="0" fontId="18" numFmtId="0" xfId="0" applyAlignment="1" applyFont="1">
      <alignment vertical="center"/>
    </xf>
    <xf borderId="13" fillId="0" fontId="11" numFmtId="0" xfId="0" applyAlignment="1" applyBorder="1" applyFont="1">
      <alignment vertical="center"/>
    </xf>
    <xf borderId="14" fillId="0" fontId="18" numFmtId="0" xfId="0" applyAlignment="1" applyBorder="1" applyFont="1">
      <alignment vertical="center"/>
    </xf>
    <xf borderId="15" fillId="0" fontId="18" numFmtId="0" xfId="0" applyAlignment="1" applyBorder="1" applyFont="1">
      <alignment vertical="center"/>
    </xf>
    <xf borderId="15" fillId="0" fontId="11" numFmtId="0" xfId="0" applyAlignment="1" applyBorder="1" applyFont="1">
      <alignment vertical="center"/>
    </xf>
    <xf borderId="16" fillId="0" fontId="11" numFmtId="0" xfId="0" applyAlignment="1" applyBorder="1" applyFont="1">
      <alignment vertical="center"/>
    </xf>
    <xf borderId="17" fillId="0" fontId="17" numFmtId="0" xfId="0" applyAlignment="1" applyBorder="1" applyFont="1">
      <alignment horizontal="center" vertical="center"/>
    </xf>
    <xf borderId="18" fillId="0" fontId="17" numFmtId="0" xfId="0" applyAlignment="1" applyBorder="1" applyFont="1">
      <alignment horizontal="center" vertical="center"/>
    </xf>
    <xf borderId="19" fillId="0" fontId="3" numFmtId="0" xfId="0" applyAlignment="1" applyBorder="1" applyFont="1">
      <alignment vertical="center"/>
    </xf>
    <xf borderId="20" fillId="0" fontId="3" numFmtId="0" xfId="0" applyAlignment="1" applyBorder="1" applyFont="1">
      <alignment vertical="center"/>
    </xf>
    <xf borderId="21" fillId="0" fontId="17" numFmtId="0" xfId="0" applyAlignment="1" applyBorder="1" applyFont="1">
      <alignment horizontal="center" vertical="center"/>
    </xf>
    <xf borderId="11" fillId="0" fontId="17" numFmtId="0" xfId="0" applyAlignment="1" applyBorder="1" applyFont="1">
      <alignment horizontal="center" vertical="center"/>
    </xf>
    <xf borderId="0" fillId="0" fontId="17" numFmtId="0" xfId="0" applyAlignment="1" applyFont="1">
      <alignment horizontal="center" vertical="bottom"/>
    </xf>
    <xf borderId="22" fillId="0" fontId="3" numFmtId="0" xfId="0" applyAlignment="1" applyBorder="1" applyFont="1">
      <alignment vertical="center"/>
    </xf>
    <xf borderId="23" fillId="0" fontId="17" numFmtId="0" xfId="0" applyAlignment="1" applyBorder="1" applyFont="1">
      <alignment horizontal="center" vertical="center"/>
    </xf>
    <xf borderId="24" fillId="0" fontId="17" numFmtId="0" xfId="0" applyAlignment="1" applyBorder="1" applyFont="1">
      <alignment horizontal="center" vertical="center"/>
    </xf>
    <xf borderId="25" fillId="0" fontId="17" numFmtId="0" xfId="0" applyAlignment="1" applyBorder="1" applyFont="1">
      <alignment horizontal="center" vertical="center"/>
    </xf>
    <xf borderId="13" fillId="0" fontId="3" numFmtId="0" xfId="0" applyAlignment="1" applyBorder="1" applyFont="1">
      <alignment vertical="center"/>
    </xf>
    <xf borderId="26" fillId="0" fontId="3" numFmtId="0" xfId="0" applyAlignment="1" applyBorder="1" applyFont="1">
      <alignment vertical="center"/>
    </xf>
    <xf borderId="23" fillId="0" fontId="16" numFmtId="0" xfId="0" applyAlignment="1" applyBorder="1" applyFont="1">
      <alignment horizontal="center" vertical="center"/>
    </xf>
    <xf borderId="18" fillId="0" fontId="16" numFmtId="0" xfId="0" applyAlignment="1" applyBorder="1" applyFont="1">
      <alignment horizontal="center" vertical="center"/>
    </xf>
    <xf borderId="24" fillId="0" fontId="16" numFmtId="0" xfId="0" applyAlignment="1" applyBorder="1" applyFont="1">
      <alignment horizontal="center" vertical="center"/>
    </xf>
    <xf borderId="25" fillId="0" fontId="16" numFmtId="0" xfId="0" applyAlignment="1" applyBorder="1" applyFont="1">
      <alignment horizontal="center" vertical="center"/>
    </xf>
    <xf borderId="16" fillId="0" fontId="3" numFmtId="0" xfId="0" applyAlignment="1" applyBorder="1" applyFont="1">
      <alignment vertical="center"/>
    </xf>
    <xf borderId="0" fillId="0" fontId="17" numFmtId="164" xfId="0" applyAlignment="1" applyFont="1" applyNumberFormat="1">
      <alignment horizontal="center" vertical="center"/>
    </xf>
    <xf borderId="18" fillId="0" fontId="17" numFmtId="165" xfId="0" applyAlignment="1" applyBorder="1" applyFont="1" applyNumberFormat="1">
      <alignment horizontal="center" vertical="center"/>
    </xf>
    <xf borderId="23" fillId="0" fontId="17" numFmtId="1" xfId="0" applyAlignment="1" applyBorder="1" applyFont="1" applyNumberFormat="1">
      <alignment horizontal="center" vertical="center"/>
    </xf>
    <xf borderId="25" fillId="0" fontId="17" numFmtId="1" xfId="0" applyAlignment="1" applyBorder="1" applyFont="1" applyNumberFormat="1">
      <alignment horizontal="center" vertical="center"/>
    </xf>
    <xf borderId="24" fillId="0" fontId="17" numFmtId="2" xfId="0" applyAlignment="1" applyBorder="1" applyFont="1" applyNumberFormat="1">
      <alignment horizontal="center" vertical="center"/>
    </xf>
    <xf borderId="27" fillId="0" fontId="17" numFmtId="2" xfId="0" applyAlignment="1" applyBorder="1" applyFont="1" applyNumberFormat="1">
      <alignment horizontal="center" vertical="center"/>
    </xf>
    <xf borderId="20" fillId="0" fontId="17" numFmtId="2" xfId="0" applyAlignment="1" applyBorder="1" applyFont="1" applyNumberFormat="1">
      <alignment horizontal="center" vertical="center"/>
    </xf>
    <xf borderId="25" fillId="0" fontId="17" numFmtId="2" xfId="0" applyAlignment="1" applyBorder="1" applyFont="1" applyNumberFormat="1">
      <alignment horizontal="center" vertical="center"/>
    </xf>
    <xf borderId="27" fillId="0" fontId="19" numFmtId="164" xfId="0" applyAlignment="1" applyBorder="1" applyFont="1" applyNumberFormat="1">
      <alignment horizontal="center" vertical="center"/>
    </xf>
    <xf borderId="0" fillId="0" fontId="19" numFmtId="164" xfId="0" applyAlignment="1" applyFont="1" applyNumberFormat="1">
      <alignment horizontal="center" vertical="center"/>
    </xf>
    <xf borderId="0" fillId="0" fontId="19" numFmtId="0" xfId="0" applyAlignment="1" applyFont="1">
      <alignment vertical="center"/>
    </xf>
    <xf borderId="27" fillId="0" fontId="20" numFmtId="164" xfId="0" applyAlignment="1" applyBorder="1" applyFont="1" applyNumberFormat="1">
      <alignment horizontal="center" vertical="center"/>
    </xf>
    <xf borderId="0" fillId="0" fontId="20" numFmtId="164" xfId="0" applyAlignment="1" applyFont="1" applyNumberFormat="1">
      <alignment horizontal="center" vertical="center"/>
    </xf>
    <xf borderId="0" fillId="0" fontId="20" numFmtId="0" xfId="0" applyAlignment="1" applyFont="1">
      <alignment vertical="center"/>
    </xf>
    <xf borderId="23" fillId="0" fontId="17" numFmtId="2" xfId="0" applyAlignment="1" applyBorder="1" applyFont="1" applyNumberFormat="1">
      <alignment horizontal="center" vertical="center"/>
    </xf>
    <xf borderId="19" fillId="0" fontId="17" numFmtId="2" xfId="0" applyAlignment="1" applyBorder="1" applyFont="1" applyNumberFormat="1">
      <alignment horizontal="center" vertical="center"/>
    </xf>
    <xf borderId="27" fillId="0" fontId="21" numFmtId="164" xfId="0" applyAlignment="1" applyBorder="1" applyFont="1" applyNumberFormat="1">
      <alignment horizontal="center" vertical="center"/>
    </xf>
    <xf borderId="18" fillId="0" fontId="20" numFmtId="165" xfId="0" applyAlignment="1" applyBorder="1" applyFont="1" applyNumberFormat="1">
      <alignment horizontal="center" vertical="center"/>
    </xf>
    <xf borderId="23" fillId="0" fontId="20" numFmtId="1" xfId="0" applyAlignment="1" applyBorder="1" applyFont="1" applyNumberFormat="1">
      <alignment horizontal="center" vertical="center"/>
    </xf>
    <xf borderId="24" fillId="0" fontId="20" numFmtId="2" xfId="0" applyAlignment="1" applyBorder="1" applyFont="1" applyNumberFormat="1">
      <alignment horizontal="center" vertical="center"/>
    </xf>
    <xf borderId="23" fillId="0" fontId="20" numFmtId="2" xfId="0" applyAlignment="1" applyBorder="1" applyFont="1" applyNumberFormat="1">
      <alignment horizontal="center" vertical="center"/>
    </xf>
    <xf borderId="20" fillId="0" fontId="20" numFmtId="2" xfId="0" applyAlignment="1" applyBorder="1" applyFont="1" applyNumberFormat="1">
      <alignment horizontal="center" vertical="center"/>
    </xf>
    <xf borderId="25" fillId="0" fontId="20" numFmtId="2" xfId="0" applyAlignment="1" applyBorder="1" applyFont="1" applyNumberFormat="1">
      <alignment horizontal="center" vertical="center"/>
    </xf>
    <xf borderId="27" fillId="0" fontId="20" numFmtId="2" xfId="0" applyAlignment="1" applyBorder="1" applyFont="1" applyNumberFormat="1">
      <alignment horizontal="center" vertical="center"/>
    </xf>
    <xf borderId="25" fillId="0" fontId="20" numFmtId="1" xfId="0" applyAlignment="1" applyBorder="1" applyFont="1" applyNumberFormat="1">
      <alignment horizontal="center" vertical="center"/>
    </xf>
    <xf borderId="23" fillId="0" fontId="20" numFmtId="165" xfId="0" applyAlignment="1" applyBorder="1" applyFont="1" applyNumberFormat="1">
      <alignment horizontal="center" vertical="center"/>
    </xf>
    <xf borderId="27" fillId="0" fontId="14" numFmtId="0" xfId="0" applyAlignment="1" applyBorder="1" applyFont="1">
      <alignment vertical="center"/>
    </xf>
    <xf borderId="23" fillId="0" fontId="14" numFmtId="0" xfId="0" applyAlignment="1" applyBorder="1" applyFont="1">
      <alignment vertical="center"/>
    </xf>
    <xf borderId="25" fillId="0" fontId="14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000">
                <a:solidFill>
                  <a:srgbClr val="757575"/>
                </a:solidFill>
                <a:latin typeface="+mn-lt"/>
              </a:defRPr>
            </a:pPr>
            <a:r>
              <a:rPr b="1" i="0" sz="1000">
                <a:solidFill>
                  <a:srgbClr val="757575"/>
                </a:solidFill>
                <a:latin typeface="+mn-lt"/>
              </a:rPr>
              <a:t>Strain Gauge Graph</a:t>
            </a:r>
          </a:p>
        </c:rich>
      </c:tx>
      <c:layout>
        <c:manualLayout>
          <c:xMode val="edge"/>
          <c:yMode val="edge"/>
          <c:x val="0.407420684598688"/>
          <c:y val="0.0165016039661709"/>
        </c:manualLayout>
      </c:layout>
      <c:overlay val="0"/>
    </c:title>
    <c:plotArea>
      <c:layout>
        <c:manualLayout>
          <c:xMode val="edge"/>
          <c:yMode val="edge"/>
          <c:x val="0.08412751577121524"/>
          <c:y val="0.14288587800398767"/>
          <c:w val="0.872372530835428"/>
          <c:h val="0.7398431638496191"/>
        </c:manualLayout>
      </c:layout>
      <c:lineChart>
        <c:ser>
          <c:idx val="0"/>
          <c:order val="0"/>
          <c:tx>
            <c:v>S1-1</c:v>
          </c:tx>
          <c:spPr>
            <a:ln cmpd="sng" w="9525">
              <a:solidFill>
                <a:srgbClr val="000000">
                  <a:alpha val="100000"/>
                </a:srgbClr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000000">
                  <a:alpha val="100000"/>
                </a:srgbClr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marker>
          <c:cat>
            <c:strRef>
              <c:f>'S1-1,3 STRUT (3) 배면 좌'!$A$20:$A$264</c:f>
            </c:strRef>
          </c:cat>
          <c:val>
            <c:numRef>
              <c:f>'S1-1,3 STRUT (3) 배면 좌'!$E$20:$E$264</c:f>
              <c:numCache/>
            </c:numRef>
          </c:val>
          <c:smooth val="0"/>
        </c:ser>
        <c:ser>
          <c:idx val="1"/>
          <c:order val="1"/>
          <c:tx>
            <c:v>S1-2</c:v>
          </c:tx>
          <c:spPr>
            <a:ln cmpd="sng" w="9525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3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cat>
            <c:strRef>
              <c:f>'S1-1,3 STRUT (3) 배면 좌'!$A$20:$A$264</c:f>
            </c:strRef>
          </c:cat>
          <c:val>
            <c:numRef>
              <c:f>'S1-1,3 STRUT (3) 배면 좌'!$F$20:$F$264</c:f>
              <c:numCache/>
            </c:numRef>
          </c:val>
          <c:smooth val="0"/>
        </c:ser>
        <c:axId val="1759347194"/>
        <c:axId val="426610968"/>
      </c:lineChart>
      <c:catAx>
        <c:axId val="17593471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m&quot;/&quot;d;@" sourceLinked="0"/>
        <c:majorTickMark val="in"/>
        <c:minorTickMark val="none"/>
        <c:spPr/>
        <c:txPr>
          <a:bodyPr rot="0"/>
          <a:lstStyle/>
          <a:p>
            <a:pPr lvl="0">
              <a:defRPr b="1" i="0" sz="700">
                <a:solidFill>
                  <a:srgbClr val="000000"/>
                </a:solidFill>
                <a:latin typeface="+mn-lt"/>
              </a:defRPr>
            </a:pPr>
          </a:p>
        </c:txPr>
        <c:crossAx val="426610968"/>
      </c:catAx>
      <c:valAx>
        <c:axId val="426610968"/>
        <c:scaling>
          <c:orientation val="minMax"/>
          <c:max val="1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7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700">
                    <a:solidFill>
                      <a:srgbClr val="000000"/>
                    </a:solidFill>
                    <a:latin typeface="+mn-lt"/>
                  </a:rPr>
                  <a:t>응력(kg/cm²)   </a:t>
                </a:r>
              </a:p>
            </c:rich>
          </c:tx>
          <c:layout>
            <c:manualLayout>
              <c:xMode val="edge"/>
              <c:yMode val="edge"/>
              <c:x val="0.005824197681084812"/>
              <c:y val="0.3465354330708663"/>
            </c:manualLayout>
          </c:layout>
          <c:overlay val="0"/>
        </c:title>
        <c:numFmt formatCode="General" sourceLinked="0"/>
        <c:majorTickMark val="in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 sz="700">
                <a:solidFill>
                  <a:srgbClr val="000000"/>
                </a:solidFill>
                <a:latin typeface="+mn-lt"/>
              </a:defRPr>
            </a:pPr>
          </a:p>
        </c:txPr>
        <c:crossAx val="1759347194"/>
      </c:valAx>
      <c:spPr>
        <a:solidFill>
          <a:srgbClr val="FFFFFF"/>
        </a:solidFill>
      </c:spPr>
    </c:plotArea>
    <c:legend>
      <c:legendPos val="r"/>
      <c:layout>
        <c:manualLayout>
          <c:xMode val="edge"/>
          <c:yMode val="edge"/>
          <c:x val="0.07975190695716743"/>
          <c:y val="0.7789938005681571"/>
        </c:manualLayout>
      </c:layout>
      <c:overlay val="0"/>
      <c:txPr>
        <a:bodyPr/>
        <a:lstStyle/>
        <a:p>
          <a:pPr lvl="0">
            <a:defRPr b="1" i="0" sz="700">
              <a:solidFill>
                <a:srgbClr val="1A1A1A"/>
              </a:solidFill>
              <a:latin typeface="맑은 고딕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000">
                <a:solidFill>
                  <a:srgbClr val="757575"/>
                </a:solidFill>
                <a:latin typeface="+mn-lt"/>
              </a:defRPr>
            </a:pPr>
            <a:r>
              <a:rPr b="1" i="0" sz="1000">
                <a:solidFill>
                  <a:srgbClr val="757575"/>
                </a:solidFill>
                <a:latin typeface="+mn-lt"/>
              </a:rPr>
              <a:t>Strain Gauge Graph</a:t>
            </a:r>
          </a:p>
        </c:rich>
      </c:tx>
      <c:layout>
        <c:manualLayout>
          <c:xMode val="edge"/>
          <c:yMode val="edge"/>
          <c:x val="0.407420684598688"/>
          <c:y val="0.0165016039661709"/>
        </c:manualLayout>
      </c:layout>
      <c:overlay val="0"/>
    </c:title>
    <c:plotArea>
      <c:layout>
        <c:manualLayout>
          <c:xMode val="edge"/>
          <c:yMode val="edge"/>
          <c:x val="0.08412751577121524"/>
          <c:y val="0.14288587800398767"/>
          <c:w val="0.872372530835428"/>
          <c:h val="0.7398431638496191"/>
        </c:manualLayout>
      </c:layout>
      <c:lineChart>
        <c:ser>
          <c:idx val="0"/>
          <c:order val="0"/>
          <c:tx>
            <c:v>S2-1</c:v>
          </c:tx>
          <c:spPr>
            <a:ln cmpd="sng" w="9525">
              <a:solidFill>
                <a:srgbClr val="000000">
                  <a:alpha val="100000"/>
                </a:srgbClr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000000">
                  <a:alpha val="100000"/>
                </a:srgbClr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marker>
          <c:cat>
            <c:strRef>
              <c:f>'S2-1,3 STRUT (4)배면 우'!$A$20:$A$264</c:f>
            </c:strRef>
          </c:cat>
          <c:val>
            <c:numRef>
              <c:f>'S2-1,3 STRUT (4)배면 우'!$E$20:$E$264</c:f>
              <c:numCache/>
            </c:numRef>
          </c:val>
          <c:smooth val="0"/>
        </c:ser>
        <c:ser>
          <c:idx val="1"/>
          <c:order val="1"/>
          <c:tx>
            <c:v>S2-2</c:v>
          </c:tx>
          <c:spPr>
            <a:ln cmpd="sng" w="9525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3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cat>
            <c:strRef>
              <c:f>'S2-1,3 STRUT (4)배면 우'!$A$20:$A$264</c:f>
            </c:strRef>
          </c:cat>
          <c:val>
            <c:numRef>
              <c:f>'S2-1,3 STRUT (4)배면 우'!$F$20:$F$264</c:f>
              <c:numCache/>
            </c:numRef>
          </c:val>
          <c:smooth val="0"/>
        </c:ser>
        <c:ser>
          <c:idx val="2"/>
          <c:order val="2"/>
          <c:tx>
            <c:v>S2-3</c:v>
          </c:tx>
          <c:spPr>
            <a:ln cmpd="sng" w="9525">
              <a:solidFill>
                <a:schemeClr val="accent6"/>
              </a:solidFill>
            </a:ln>
          </c:spPr>
          <c:marker>
            <c:symbol val="circle"/>
            <c:size val="3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cat>
            <c:strRef>
              <c:f>'S2-1,3 STRUT (4)배면 우'!$A$20:$A$264</c:f>
            </c:strRef>
          </c:cat>
          <c:val>
            <c:numRef>
              <c:f>'S2-1,3 STRUT (4)배면 우'!$G$20:$G$264</c:f>
              <c:numCache/>
            </c:numRef>
          </c:val>
          <c:smooth val="0"/>
        </c:ser>
        <c:axId val="248941216"/>
        <c:axId val="1253504868"/>
      </c:lineChart>
      <c:catAx>
        <c:axId val="248941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m&quot;/&quot;d;@" sourceLinked="0"/>
        <c:majorTickMark val="in"/>
        <c:minorTickMark val="none"/>
        <c:spPr/>
        <c:txPr>
          <a:bodyPr rot="0"/>
          <a:lstStyle/>
          <a:p>
            <a:pPr lvl="0">
              <a:defRPr b="1" i="0" sz="700">
                <a:solidFill>
                  <a:srgbClr val="000000"/>
                </a:solidFill>
                <a:latin typeface="+mn-lt"/>
              </a:defRPr>
            </a:pPr>
          </a:p>
        </c:txPr>
        <c:crossAx val="1253504868"/>
      </c:catAx>
      <c:valAx>
        <c:axId val="1253504868"/>
        <c:scaling>
          <c:orientation val="minMax"/>
          <c:max val="1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7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700">
                    <a:solidFill>
                      <a:srgbClr val="000000"/>
                    </a:solidFill>
                    <a:latin typeface="+mn-lt"/>
                  </a:rPr>
                  <a:t>응력(kg/cm²)   </a:t>
                </a:r>
              </a:p>
            </c:rich>
          </c:tx>
          <c:layout>
            <c:manualLayout>
              <c:xMode val="edge"/>
              <c:yMode val="edge"/>
              <c:x val="0.005824197681084812"/>
              <c:y val="0.3465354330708663"/>
            </c:manualLayout>
          </c:layout>
          <c:overlay val="0"/>
        </c:title>
        <c:numFmt formatCode="General" sourceLinked="0"/>
        <c:majorTickMark val="in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 sz="700">
                <a:solidFill>
                  <a:srgbClr val="000000"/>
                </a:solidFill>
                <a:latin typeface="+mn-lt"/>
              </a:defRPr>
            </a:pPr>
          </a:p>
        </c:txPr>
        <c:crossAx val="248941216"/>
      </c:valAx>
      <c:spPr>
        <a:solidFill>
          <a:srgbClr val="FFFFFF"/>
        </a:solidFill>
      </c:spPr>
    </c:plotArea>
    <c:legend>
      <c:legendPos val="r"/>
      <c:layout>
        <c:manualLayout>
          <c:xMode val="edge"/>
          <c:yMode val="edge"/>
          <c:x val="0.07975190695716743"/>
          <c:y val="0.7789938005681571"/>
        </c:manualLayout>
      </c:layout>
      <c:overlay val="0"/>
      <c:txPr>
        <a:bodyPr/>
        <a:lstStyle/>
        <a:p>
          <a:pPr lvl="0">
            <a:defRPr b="1" i="0" sz="700">
              <a:solidFill>
                <a:srgbClr val="1A1A1A"/>
              </a:solidFill>
              <a:latin typeface="맑은 고딕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000">
                <a:solidFill>
                  <a:srgbClr val="757575"/>
                </a:solidFill>
                <a:latin typeface="+mn-lt"/>
              </a:defRPr>
            </a:pPr>
            <a:r>
              <a:rPr b="1" i="0" sz="1000">
                <a:solidFill>
                  <a:srgbClr val="757575"/>
                </a:solidFill>
                <a:latin typeface="+mn-lt"/>
              </a:rPr>
              <a:t>Strain Gauge Graph</a:t>
            </a:r>
          </a:p>
        </c:rich>
      </c:tx>
      <c:layout>
        <c:manualLayout>
          <c:xMode val="edge"/>
          <c:yMode val="edge"/>
          <c:x val="0.407420684598688"/>
          <c:y val="0.0165016039661709"/>
        </c:manualLayout>
      </c:layout>
      <c:overlay val="0"/>
    </c:title>
    <c:plotArea>
      <c:layout>
        <c:manualLayout>
          <c:xMode val="edge"/>
          <c:yMode val="edge"/>
          <c:x val="0.08412751577121524"/>
          <c:y val="0.14288587800398767"/>
          <c:w val="0.872372530835428"/>
          <c:h val="0.7398431638496191"/>
        </c:manualLayout>
      </c:layout>
      <c:lineChart>
        <c:ser>
          <c:idx val="0"/>
          <c:order val="0"/>
          <c:tx>
            <c:v>S3-1</c:v>
          </c:tx>
          <c:spPr>
            <a:ln cmpd="sng" w="9525">
              <a:solidFill>
                <a:srgbClr val="000000">
                  <a:alpha val="100000"/>
                </a:srgbClr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000000">
                  <a:alpha val="100000"/>
                </a:srgbClr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marker>
          <c:cat>
            <c:strRef>
              <c:f>'S3-1,2,3 STRUT (5)'!$A$20:$A$264</c:f>
            </c:strRef>
          </c:cat>
          <c:val>
            <c:numRef>
              <c:f>'S3-1,2,3 STRUT (5)'!$E$20:$E$264</c:f>
              <c:numCache/>
            </c:numRef>
          </c:val>
          <c:smooth val="0"/>
        </c:ser>
        <c:ser>
          <c:idx val="1"/>
          <c:order val="1"/>
          <c:tx>
            <c:v>S3-2</c:v>
          </c:tx>
          <c:spPr>
            <a:ln cmpd="sng" w="9525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3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cat>
            <c:strRef>
              <c:f>'S3-1,2,3 STRUT (5)'!$A$20:$A$264</c:f>
            </c:strRef>
          </c:cat>
          <c:val>
            <c:numRef>
              <c:f>'S3-1,2,3 STRUT (5)'!$F$20:$F$264</c:f>
              <c:numCache/>
            </c:numRef>
          </c:val>
          <c:smooth val="0"/>
        </c:ser>
        <c:ser>
          <c:idx val="2"/>
          <c:order val="2"/>
          <c:tx>
            <c:v>S3-3</c:v>
          </c:tx>
          <c:spPr>
            <a:ln cmpd="sng" w="9525">
              <a:solidFill>
                <a:schemeClr val="accent6"/>
              </a:solidFill>
            </a:ln>
          </c:spPr>
          <c:marker>
            <c:symbol val="circle"/>
            <c:size val="3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cat>
            <c:strRef>
              <c:f>'S3-1,2,3 STRUT (5)'!$A$20:$A$264</c:f>
            </c:strRef>
          </c:cat>
          <c:val>
            <c:numRef>
              <c:f>'S3-1,2,3 STRUT (5)'!$G$20:$G$264</c:f>
              <c:numCache/>
            </c:numRef>
          </c:val>
          <c:smooth val="0"/>
        </c:ser>
        <c:axId val="207360962"/>
        <c:axId val="1411269076"/>
      </c:lineChart>
      <c:catAx>
        <c:axId val="2073609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m&quot;/&quot;d;@" sourceLinked="0"/>
        <c:majorTickMark val="in"/>
        <c:minorTickMark val="none"/>
        <c:spPr/>
        <c:txPr>
          <a:bodyPr rot="0"/>
          <a:lstStyle/>
          <a:p>
            <a:pPr lvl="0">
              <a:defRPr b="1" i="0" sz="700">
                <a:solidFill>
                  <a:srgbClr val="000000"/>
                </a:solidFill>
                <a:latin typeface="+mn-lt"/>
              </a:defRPr>
            </a:pPr>
          </a:p>
        </c:txPr>
        <c:crossAx val="1411269076"/>
      </c:catAx>
      <c:valAx>
        <c:axId val="1411269076"/>
        <c:scaling>
          <c:orientation val="minMax"/>
          <c:max val="1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7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700">
                    <a:solidFill>
                      <a:srgbClr val="000000"/>
                    </a:solidFill>
                    <a:latin typeface="+mn-lt"/>
                  </a:rPr>
                  <a:t>응력(kg/cm²)   </a:t>
                </a:r>
              </a:p>
            </c:rich>
          </c:tx>
          <c:layout>
            <c:manualLayout>
              <c:xMode val="edge"/>
              <c:yMode val="edge"/>
              <c:x val="0.005824197681084812"/>
              <c:y val="0.3465354330708663"/>
            </c:manualLayout>
          </c:layout>
          <c:overlay val="0"/>
        </c:title>
        <c:numFmt formatCode="General" sourceLinked="0"/>
        <c:majorTickMark val="in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 sz="700">
                <a:solidFill>
                  <a:srgbClr val="000000"/>
                </a:solidFill>
                <a:latin typeface="+mn-lt"/>
              </a:defRPr>
            </a:pPr>
          </a:p>
        </c:txPr>
        <c:crossAx val="207360962"/>
      </c:valAx>
      <c:spPr>
        <a:solidFill>
          <a:srgbClr val="FFFFFF"/>
        </a:solidFill>
      </c:spPr>
    </c:plotArea>
    <c:legend>
      <c:legendPos val="r"/>
      <c:layout>
        <c:manualLayout>
          <c:xMode val="edge"/>
          <c:yMode val="edge"/>
          <c:x val="0.07975190695716743"/>
          <c:y val="0.7789938005681571"/>
        </c:manualLayout>
      </c:layout>
      <c:overlay val="0"/>
      <c:txPr>
        <a:bodyPr/>
        <a:lstStyle/>
        <a:p>
          <a:pPr lvl="0">
            <a:defRPr b="1" i="0" sz="700">
              <a:solidFill>
                <a:srgbClr val="1A1A1A"/>
              </a:solidFill>
              <a:latin typeface="맑은 고딕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000">
                <a:solidFill>
                  <a:srgbClr val="757575"/>
                </a:solidFill>
                <a:latin typeface="+mn-lt"/>
              </a:defRPr>
            </a:pPr>
            <a:r>
              <a:rPr b="1" i="0" sz="1000">
                <a:solidFill>
                  <a:srgbClr val="757575"/>
                </a:solidFill>
                <a:latin typeface="+mn-lt"/>
              </a:rPr>
              <a:t>Strain Gauge Graph</a:t>
            </a:r>
          </a:p>
        </c:rich>
      </c:tx>
      <c:layout>
        <c:manualLayout>
          <c:xMode val="edge"/>
          <c:yMode val="edge"/>
          <c:x val="0.407420684598688"/>
          <c:y val="0.0165016039661709"/>
        </c:manualLayout>
      </c:layout>
      <c:overlay val="0"/>
    </c:title>
    <c:plotArea>
      <c:layout>
        <c:manualLayout>
          <c:xMode val="edge"/>
          <c:yMode val="edge"/>
          <c:x val="0.08412751577121524"/>
          <c:y val="0.14288587800398767"/>
          <c:w val="0.872372530835428"/>
          <c:h val="0.7398431638496191"/>
        </c:manualLayout>
      </c:layout>
      <c:lineChart>
        <c:ser>
          <c:idx val="0"/>
          <c:order val="0"/>
          <c:tx>
            <c:v>S4-1</c:v>
          </c:tx>
          <c:spPr>
            <a:ln cmpd="sng" w="9525">
              <a:solidFill>
                <a:srgbClr val="000000">
                  <a:alpha val="100000"/>
                </a:srgbClr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000000">
                  <a:alpha val="100000"/>
                </a:srgbClr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marker>
          <c:cat>
            <c:strRef>
              <c:f>'S4-1, STRUT (6)'!$A$20:$A$264</c:f>
            </c:strRef>
          </c:cat>
          <c:val>
            <c:numRef>
              <c:f>'S4-1, STRUT (6)'!$E$20:$E$264</c:f>
              <c:numCache/>
            </c:numRef>
          </c:val>
          <c:smooth val="0"/>
        </c:ser>
        <c:axId val="918191632"/>
        <c:axId val="389638587"/>
      </c:lineChart>
      <c:catAx>
        <c:axId val="918191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m&quot;/&quot;d;@" sourceLinked="0"/>
        <c:majorTickMark val="in"/>
        <c:minorTickMark val="none"/>
        <c:spPr/>
        <c:txPr>
          <a:bodyPr rot="0"/>
          <a:lstStyle/>
          <a:p>
            <a:pPr lvl="0">
              <a:defRPr b="1" i="0" sz="700">
                <a:solidFill>
                  <a:srgbClr val="000000"/>
                </a:solidFill>
                <a:latin typeface="+mn-lt"/>
              </a:defRPr>
            </a:pPr>
          </a:p>
        </c:txPr>
        <c:crossAx val="389638587"/>
      </c:catAx>
      <c:valAx>
        <c:axId val="389638587"/>
        <c:scaling>
          <c:orientation val="minMax"/>
          <c:max val="1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7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700">
                    <a:solidFill>
                      <a:srgbClr val="000000"/>
                    </a:solidFill>
                    <a:latin typeface="+mn-lt"/>
                  </a:rPr>
                  <a:t>응력(kg/cm²)   </a:t>
                </a:r>
              </a:p>
            </c:rich>
          </c:tx>
          <c:layout>
            <c:manualLayout>
              <c:xMode val="edge"/>
              <c:yMode val="edge"/>
              <c:x val="0.005824197681084812"/>
              <c:y val="0.3465354330708663"/>
            </c:manualLayout>
          </c:layout>
          <c:overlay val="0"/>
        </c:title>
        <c:numFmt formatCode="General" sourceLinked="0"/>
        <c:majorTickMark val="in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 sz="700">
                <a:solidFill>
                  <a:srgbClr val="000000"/>
                </a:solidFill>
                <a:latin typeface="+mn-lt"/>
              </a:defRPr>
            </a:pPr>
          </a:p>
        </c:txPr>
        <c:crossAx val="918191632"/>
      </c:valAx>
      <c:spPr>
        <a:solidFill>
          <a:srgbClr val="FFFFFF"/>
        </a:solidFill>
      </c:spPr>
    </c:plotArea>
    <c:legend>
      <c:legendPos val="r"/>
      <c:layout>
        <c:manualLayout>
          <c:xMode val="edge"/>
          <c:yMode val="edge"/>
          <c:x val="0.07975190695716743"/>
          <c:y val="0.7789938005681571"/>
        </c:manualLayout>
      </c:layout>
      <c:overlay val="0"/>
      <c:txPr>
        <a:bodyPr/>
        <a:lstStyle/>
        <a:p>
          <a:pPr lvl="0">
            <a:defRPr b="1" i="0" sz="700">
              <a:solidFill>
                <a:srgbClr val="1A1A1A"/>
              </a:solidFill>
              <a:latin typeface="맑은 고딕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000">
                <a:solidFill>
                  <a:srgbClr val="757575"/>
                </a:solidFill>
                <a:latin typeface="+mn-lt"/>
              </a:defRPr>
            </a:pPr>
            <a:r>
              <a:rPr b="1" i="0" sz="1000">
                <a:solidFill>
                  <a:srgbClr val="757575"/>
                </a:solidFill>
                <a:latin typeface="+mn-lt"/>
              </a:rPr>
              <a:t>Strain Gauge Graph</a:t>
            </a:r>
          </a:p>
        </c:rich>
      </c:tx>
      <c:layout>
        <c:manualLayout>
          <c:xMode val="edge"/>
          <c:yMode val="edge"/>
          <c:x val="0.407420684598688"/>
          <c:y val="0.0165016039661709"/>
        </c:manualLayout>
      </c:layout>
      <c:overlay val="0"/>
    </c:title>
    <c:plotArea>
      <c:layout>
        <c:manualLayout>
          <c:xMode val="edge"/>
          <c:yMode val="edge"/>
          <c:x val="0.08412751577121524"/>
          <c:y val="0.14288587800398767"/>
          <c:w val="0.872372530835428"/>
          <c:h val="0.7398431638496191"/>
        </c:manualLayout>
      </c:layout>
      <c:lineChart>
        <c:ser>
          <c:idx val="0"/>
          <c:order val="0"/>
          <c:tx>
            <c:v>S5-1</c:v>
          </c:tx>
          <c:spPr>
            <a:ln cmpd="sng" w="9525">
              <a:solidFill>
                <a:srgbClr val="000000">
                  <a:alpha val="100000"/>
                </a:srgbClr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000000">
                  <a:alpha val="100000"/>
                </a:srgbClr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marker>
          <c:cat>
            <c:strRef>
              <c:f>'S5-1 STRUT (4)배면 우 (2)'!$A$20:$A$264</c:f>
            </c:strRef>
          </c:cat>
          <c:val>
            <c:numRef>
              <c:f>'S5-1 STRUT (4)배면 우 (2)'!$E$20:$E$264</c:f>
              <c:numCache/>
            </c:numRef>
          </c:val>
          <c:smooth val="0"/>
        </c:ser>
        <c:axId val="381793394"/>
        <c:axId val="887644395"/>
      </c:lineChart>
      <c:catAx>
        <c:axId val="3817933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m&quot;/&quot;d;@" sourceLinked="0"/>
        <c:majorTickMark val="in"/>
        <c:minorTickMark val="none"/>
        <c:spPr/>
        <c:txPr>
          <a:bodyPr rot="0"/>
          <a:lstStyle/>
          <a:p>
            <a:pPr lvl="0">
              <a:defRPr b="1" i="0" sz="700">
                <a:solidFill>
                  <a:srgbClr val="000000"/>
                </a:solidFill>
                <a:latin typeface="+mn-lt"/>
              </a:defRPr>
            </a:pPr>
          </a:p>
        </c:txPr>
        <c:crossAx val="887644395"/>
      </c:catAx>
      <c:valAx>
        <c:axId val="887644395"/>
        <c:scaling>
          <c:orientation val="minMax"/>
          <c:max val="1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7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700">
                    <a:solidFill>
                      <a:srgbClr val="000000"/>
                    </a:solidFill>
                    <a:latin typeface="+mn-lt"/>
                  </a:rPr>
                  <a:t>응력(kg/cm²)   </a:t>
                </a:r>
              </a:p>
            </c:rich>
          </c:tx>
          <c:layout>
            <c:manualLayout>
              <c:xMode val="edge"/>
              <c:yMode val="edge"/>
              <c:x val="0.005824197681084812"/>
              <c:y val="0.3465354330708663"/>
            </c:manualLayout>
          </c:layout>
          <c:overlay val="0"/>
        </c:title>
        <c:numFmt formatCode="General" sourceLinked="0"/>
        <c:majorTickMark val="in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 sz="700">
                <a:solidFill>
                  <a:srgbClr val="000000"/>
                </a:solidFill>
                <a:latin typeface="+mn-lt"/>
              </a:defRPr>
            </a:pPr>
          </a:p>
        </c:txPr>
        <c:crossAx val="381793394"/>
      </c:valAx>
      <c:spPr>
        <a:solidFill>
          <a:srgbClr val="FFFFFF"/>
        </a:solidFill>
      </c:spPr>
    </c:plotArea>
    <c:legend>
      <c:legendPos val="r"/>
      <c:layout>
        <c:manualLayout>
          <c:xMode val="edge"/>
          <c:yMode val="edge"/>
          <c:x val="0.07975190695716743"/>
          <c:y val="0.7789938005681571"/>
        </c:manualLayout>
      </c:layout>
      <c:overlay val="0"/>
      <c:txPr>
        <a:bodyPr/>
        <a:lstStyle/>
        <a:p>
          <a:pPr lvl="0">
            <a:defRPr b="1" i="0" sz="700">
              <a:solidFill>
                <a:srgbClr val="1A1A1A"/>
              </a:solidFill>
              <a:latin typeface="맑은 고딕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000">
                <a:solidFill>
                  <a:srgbClr val="757575"/>
                </a:solidFill>
                <a:latin typeface="+mn-lt"/>
              </a:defRPr>
            </a:pPr>
            <a:r>
              <a:rPr b="1" i="0" sz="1000">
                <a:solidFill>
                  <a:srgbClr val="757575"/>
                </a:solidFill>
                <a:latin typeface="+mn-lt"/>
              </a:rPr>
              <a:t>Strain Gauge Graph</a:t>
            </a:r>
          </a:p>
        </c:rich>
      </c:tx>
      <c:layout>
        <c:manualLayout>
          <c:xMode val="edge"/>
          <c:yMode val="edge"/>
          <c:x val="0.407420684598688"/>
          <c:y val="0.0165016039661709"/>
        </c:manualLayout>
      </c:layout>
      <c:overlay val="0"/>
    </c:title>
    <c:plotArea>
      <c:layout>
        <c:manualLayout>
          <c:xMode val="edge"/>
          <c:yMode val="edge"/>
          <c:x val="0.08412751577121524"/>
          <c:y val="0.14288587800398767"/>
          <c:w val="0.872372530835428"/>
          <c:h val="0.7398431638496191"/>
        </c:manualLayout>
      </c:layout>
      <c:lineChart>
        <c:ser>
          <c:idx val="0"/>
          <c:order val="0"/>
          <c:tx>
            <c:v>S6-1</c:v>
          </c:tx>
          <c:spPr>
            <a:ln cmpd="sng" w="9525">
              <a:solidFill>
                <a:srgbClr val="000000">
                  <a:alpha val="100000"/>
                </a:srgbClr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000000">
                  <a:alpha val="100000"/>
                </a:srgbClr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marker>
          <c:cat>
            <c:strRef>
              <c:f>'S6-1,2,3 STRUT (6)'!$A$20:$A$264</c:f>
            </c:strRef>
          </c:cat>
          <c:val>
            <c:numRef>
              <c:f>'S6-1,2,3 STRUT (6)'!$E$20:$E$264</c:f>
              <c:numCache/>
            </c:numRef>
          </c:val>
          <c:smooth val="0"/>
        </c:ser>
        <c:ser>
          <c:idx val="1"/>
          <c:order val="1"/>
          <c:tx>
            <c:v>S6-2</c:v>
          </c:tx>
          <c:spPr>
            <a:ln cmpd="sng" w="9525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3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cat>
            <c:strRef>
              <c:f>'S6-1,2,3 STRUT (6)'!$A$20:$A$264</c:f>
            </c:strRef>
          </c:cat>
          <c:val>
            <c:numRef>
              <c:f>'S6-1,2,3 STRUT (6)'!$F$20:$F$264</c:f>
              <c:numCache/>
            </c:numRef>
          </c:val>
          <c:smooth val="0"/>
        </c:ser>
        <c:ser>
          <c:idx val="2"/>
          <c:order val="2"/>
          <c:tx>
            <c:v>S6-3</c:v>
          </c:tx>
          <c:spPr>
            <a:ln cmpd="sng" w="9525">
              <a:solidFill>
                <a:schemeClr val="accent6"/>
              </a:solidFill>
            </a:ln>
          </c:spPr>
          <c:marker>
            <c:symbol val="circle"/>
            <c:size val="3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cat>
            <c:strRef>
              <c:f>'S6-1,2,3 STRUT (6)'!$A$20:$A$264</c:f>
            </c:strRef>
          </c:cat>
          <c:val>
            <c:numRef>
              <c:f>'S6-1,2,3 STRUT (6)'!$G$20:$G$264</c:f>
              <c:numCache/>
            </c:numRef>
          </c:val>
          <c:smooth val="0"/>
        </c:ser>
        <c:axId val="329371741"/>
        <c:axId val="920768517"/>
      </c:lineChart>
      <c:catAx>
        <c:axId val="3293717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m&quot;/&quot;d;@" sourceLinked="0"/>
        <c:majorTickMark val="in"/>
        <c:minorTickMark val="none"/>
        <c:spPr/>
        <c:txPr>
          <a:bodyPr rot="0"/>
          <a:lstStyle/>
          <a:p>
            <a:pPr lvl="0">
              <a:defRPr b="1" i="0" sz="700">
                <a:solidFill>
                  <a:srgbClr val="000000"/>
                </a:solidFill>
                <a:latin typeface="+mn-lt"/>
              </a:defRPr>
            </a:pPr>
          </a:p>
        </c:txPr>
        <c:crossAx val="920768517"/>
      </c:catAx>
      <c:valAx>
        <c:axId val="920768517"/>
        <c:scaling>
          <c:orientation val="minMax"/>
          <c:max val="1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7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700">
                    <a:solidFill>
                      <a:srgbClr val="000000"/>
                    </a:solidFill>
                    <a:latin typeface="+mn-lt"/>
                  </a:rPr>
                  <a:t>응력(kg/cm²)   </a:t>
                </a:r>
              </a:p>
            </c:rich>
          </c:tx>
          <c:layout>
            <c:manualLayout>
              <c:xMode val="edge"/>
              <c:yMode val="edge"/>
              <c:x val="0.005824197681084812"/>
              <c:y val="0.3465354330708663"/>
            </c:manualLayout>
          </c:layout>
          <c:overlay val="0"/>
        </c:title>
        <c:numFmt formatCode="General" sourceLinked="0"/>
        <c:majorTickMark val="in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 sz="700">
                <a:solidFill>
                  <a:srgbClr val="000000"/>
                </a:solidFill>
                <a:latin typeface="+mn-lt"/>
              </a:defRPr>
            </a:pPr>
          </a:p>
        </c:txPr>
        <c:crossAx val="329371741"/>
      </c:valAx>
      <c:spPr>
        <a:solidFill>
          <a:srgbClr val="FFFFFF"/>
        </a:solidFill>
      </c:spPr>
    </c:plotArea>
    <c:legend>
      <c:legendPos val="r"/>
      <c:layout>
        <c:manualLayout>
          <c:xMode val="edge"/>
          <c:yMode val="edge"/>
          <c:x val="0.07975190695716743"/>
          <c:y val="0.7789938005681571"/>
        </c:manualLayout>
      </c:layout>
      <c:overlay val="0"/>
      <c:txPr>
        <a:bodyPr/>
        <a:lstStyle/>
        <a:p>
          <a:pPr lvl="0">
            <a:defRPr b="1" i="0" sz="700">
              <a:solidFill>
                <a:srgbClr val="1A1A1A"/>
              </a:solidFill>
              <a:latin typeface="맑은 고딕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000">
                <a:solidFill>
                  <a:srgbClr val="757575"/>
                </a:solidFill>
                <a:latin typeface="+mn-lt"/>
              </a:defRPr>
            </a:pPr>
            <a:r>
              <a:rPr b="1" i="0" sz="1000">
                <a:solidFill>
                  <a:srgbClr val="757575"/>
                </a:solidFill>
                <a:latin typeface="+mn-lt"/>
              </a:rPr>
              <a:t>Strain Gauge Graph</a:t>
            </a:r>
          </a:p>
        </c:rich>
      </c:tx>
      <c:layout>
        <c:manualLayout>
          <c:xMode val="edge"/>
          <c:yMode val="edge"/>
          <c:x val="0.407420684598688"/>
          <c:y val="0.0165016039661709"/>
        </c:manualLayout>
      </c:layout>
      <c:overlay val="0"/>
    </c:title>
    <c:plotArea>
      <c:layout>
        <c:manualLayout>
          <c:xMode val="edge"/>
          <c:yMode val="edge"/>
          <c:x val="0.08412751577121524"/>
          <c:y val="0.14288587800398767"/>
          <c:w val="0.872372530835428"/>
          <c:h val="0.7398431638496191"/>
        </c:manualLayout>
      </c:layout>
      <c:lineChart>
        <c:ser>
          <c:idx val="0"/>
          <c:order val="0"/>
          <c:tx>
            <c:v>S7-1</c:v>
          </c:tx>
          <c:spPr>
            <a:ln cmpd="sng" w="9525">
              <a:solidFill>
                <a:srgbClr val="000000">
                  <a:alpha val="100000"/>
                </a:srgbClr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000000">
                  <a:alpha val="100000"/>
                </a:srgbClr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marker>
          <c:cat>
            <c:strRef>
              <c:f>'S7-1,2,3 STRUT (7)'!$A$20:$A$264</c:f>
            </c:strRef>
          </c:cat>
          <c:val>
            <c:numRef>
              <c:f>'S7-1,2,3 STRUT (7)'!$E$20:$E$264</c:f>
              <c:numCache/>
            </c:numRef>
          </c:val>
          <c:smooth val="0"/>
        </c:ser>
        <c:ser>
          <c:idx val="1"/>
          <c:order val="1"/>
          <c:tx>
            <c:v>S7-2</c:v>
          </c:tx>
          <c:spPr>
            <a:ln cmpd="sng" w="9525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3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cat>
            <c:strRef>
              <c:f>'S7-1,2,3 STRUT (7)'!$A$20:$A$264</c:f>
            </c:strRef>
          </c:cat>
          <c:val>
            <c:numRef>
              <c:f>'S7-1,2,3 STRUT (7)'!$F$20:$F$264</c:f>
              <c:numCache/>
            </c:numRef>
          </c:val>
          <c:smooth val="0"/>
        </c:ser>
        <c:ser>
          <c:idx val="2"/>
          <c:order val="2"/>
          <c:tx>
            <c:v>S7-3</c:v>
          </c:tx>
          <c:spPr>
            <a:ln cmpd="sng" w="9525">
              <a:solidFill>
                <a:schemeClr val="accent6"/>
              </a:solidFill>
            </a:ln>
          </c:spPr>
          <c:marker>
            <c:symbol val="circle"/>
            <c:size val="3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cat>
            <c:strRef>
              <c:f>'S7-1,2,3 STRUT (7)'!$A$20:$A$264</c:f>
            </c:strRef>
          </c:cat>
          <c:val>
            <c:numRef>
              <c:f>'S7-1,2,3 STRUT (7)'!$G$20:$G$264</c:f>
              <c:numCache/>
            </c:numRef>
          </c:val>
          <c:smooth val="0"/>
        </c:ser>
        <c:axId val="1241390987"/>
        <c:axId val="1169505685"/>
      </c:lineChart>
      <c:catAx>
        <c:axId val="12413909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m&quot;/&quot;d;@" sourceLinked="0"/>
        <c:majorTickMark val="in"/>
        <c:minorTickMark val="none"/>
        <c:spPr/>
        <c:txPr>
          <a:bodyPr rot="0"/>
          <a:lstStyle/>
          <a:p>
            <a:pPr lvl="0">
              <a:defRPr b="1" i="0" sz="700">
                <a:solidFill>
                  <a:srgbClr val="000000"/>
                </a:solidFill>
                <a:latin typeface="+mn-lt"/>
              </a:defRPr>
            </a:pPr>
          </a:p>
        </c:txPr>
        <c:crossAx val="1169505685"/>
      </c:catAx>
      <c:valAx>
        <c:axId val="1169505685"/>
        <c:scaling>
          <c:orientation val="minMax"/>
          <c:max val="1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7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700">
                    <a:solidFill>
                      <a:srgbClr val="000000"/>
                    </a:solidFill>
                    <a:latin typeface="+mn-lt"/>
                  </a:rPr>
                  <a:t>응력(kg/cm²)   </a:t>
                </a:r>
              </a:p>
            </c:rich>
          </c:tx>
          <c:layout>
            <c:manualLayout>
              <c:xMode val="edge"/>
              <c:yMode val="edge"/>
              <c:x val="0.005824197681084812"/>
              <c:y val="0.3465354330708663"/>
            </c:manualLayout>
          </c:layout>
          <c:overlay val="0"/>
        </c:title>
        <c:numFmt formatCode="General" sourceLinked="0"/>
        <c:majorTickMark val="in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 sz="700">
                <a:solidFill>
                  <a:srgbClr val="000000"/>
                </a:solidFill>
                <a:latin typeface="+mn-lt"/>
              </a:defRPr>
            </a:pPr>
          </a:p>
        </c:txPr>
        <c:crossAx val="1241390987"/>
      </c:valAx>
      <c:spPr>
        <a:solidFill>
          <a:srgbClr val="FFFFFF"/>
        </a:solidFill>
      </c:spPr>
    </c:plotArea>
    <c:legend>
      <c:legendPos val="r"/>
      <c:layout>
        <c:manualLayout>
          <c:xMode val="edge"/>
          <c:yMode val="edge"/>
          <c:x val="0.07975190695716743"/>
          <c:y val="0.7789938005681571"/>
        </c:manualLayout>
      </c:layout>
      <c:overlay val="0"/>
      <c:txPr>
        <a:bodyPr/>
        <a:lstStyle/>
        <a:p>
          <a:pPr lvl="0">
            <a:defRPr b="1" i="0" sz="700">
              <a:solidFill>
                <a:srgbClr val="1A1A1A"/>
              </a:solidFill>
              <a:latin typeface="맑은 고딕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4</xdr:row>
      <xdr:rowOff>47625</xdr:rowOff>
    </xdr:from>
    <xdr:ext cx="5086350" cy="23431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4</xdr:row>
      <xdr:rowOff>47625</xdr:rowOff>
    </xdr:from>
    <xdr:ext cx="5086350" cy="234315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4</xdr:row>
      <xdr:rowOff>47625</xdr:rowOff>
    </xdr:from>
    <xdr:ext cx="5086350" cy="234315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4</xdr:row>
      <xdr:rowOff>47625</xdr:rowOff>
    </xdr:from>
    <xdr:ext cx="5086350" cy="234315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4</xdr:row>
      <xdr:rowOff>47625</xdr:rowOff>
    </xdr:from>
    <xdr:ext cx="5086350" cy="234315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4</xdr:row>
      <xdr:rowOff>47625</xdr:rowOff>
    </xdr:from>
    <xdr:ext cx="5086350" cy="2343150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4</xdr:row>
      <xdr:rowOff>47625</xdr:rowOff>
    </xdr:from>
    <xdr:ext cx="5086350" cy="2343150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3.5" customHeight="1"/>
    <row r="2" ht="13.5" customHeight="1">
      <c r="A2" s="1" t="s">
        <v>0</v>
      </c>
      <c r="G2" s="2" t="s">
        <v>1</v>
      </c>
      <c r="H2" s="3"/>
      <c r="I2" s="4"/>
    </row>
    <row r="3" ht="13.5" customHeight="1">
      <c r="G3" s="5"/>
      <c r="I3" s="6"/>
    </row>
    <row r="4" ht="13.5" customHeight="1">
      <c r="G4" s="5"/>
      <c r="I4" s="6"/>
    </row>
    <row r="5" ht="13.5" customHeight="1">
      <c r="G5" s="5"/>
      <c r="I5" s="6"/>
    </row>
    <row r="6" ht="13.5" customHeight="1">
      <c r="G6" s="5"/>
      <c r="I6" s="6"/>
    </row>
    <row r="7" ht="13.5" customHeight="1">
      <c r="G7" s="5"/>
      <c r="I7" s="6"/>
    </row>
    <row r="8" ht="13.5" customHeight="1">
      <c r="G8" s="5"/>
      <c r="I8" s="6"/>
    </row>
    <row r="9" ht="13.5" customHeight="1">
      <c r="G9" s="5"/>
      <c r="I9" s="6"/>
    </row>
    <row r="10" ht="13.5" customHeight="1">
      <c r="G10" s="5"/>
      <c r="I10" s="6"/>
    </row>
    <row r="11" ht="13.5" customHeight="1">
      <c r="G11" s="5"/>
      <c r="I11" s="6"/>
    </row>
    <row r="12" ht="13.5" customHeight="1">
      <c r="G12" s="5"/>
      <c r="I12" s="6"/>
    </row>
    <row r="13" ht="13.5" customHeight="1">
      <c r="G13" s="5"/>
      <c r="I13" s="6"/>
    </row>
    <row r="14" ht="13.5" customHeight="1">
      <c r="G14" s="5"/>
      <c r="I14" s="6"/>
    </row>
    <row r="15" ht="13.5" customHeight="1">
      <c r="G15" s="5"/>
      <c r="I15" s="6"/>
    </row>
    <row r="16" ht="13.5" customHeight="1">
      <c r="A16" s="7"/>
      <c r="B16" s="7"/>
      <c r="C16" s="7"/>
      <c r="D16" s="7"/>
      <c r="E16" s="7"/>
      <c r="F16" s="8"/>
      <c r="G16" s="5"/>
      <c r="I16" s="6"/>
    </row>
    <row r="17" ht="13.5" customHeight="1">
      <c r="A17" s="7"/>
      <c r="B17" s="7"/>
      <c r="C17" s="7"/>
      <c r="D17" s="7"/>
      <c r="E17" s="7"/>
      <c r="F17" s="8"/>
      <c r="G17" s="5"/>
      <c r="I17" s="6"/>
    </row>
    <row r="18" ht="13.5" customHeight="1">
      <c r="C18" s="8"/>
      <c r="D18" s="8"/>
      <c r="E18" s="8"/>
      <c r="F18" s="8"/>
      <c r="G18" s="5"/>
      <c r="I18" s="6"/>
    </row>
    <row r="19" ht="13.5" customHeight="1">
      <c r="C19" s="9"/>
      <c r="D19" s="10"/>
      <c r="E19" s="10"/>
      <c r="F19" s="10"/>
      <c r="G19" s="5"/>
      <c r="I19" s="6"/>
    </row>
    <row r="20" ht="13.5" customHeight="1">
      <c r="C20" s="9"/>
      <c r="D20" s="10"/>
      <c r="E20" s="10"/>
      <c r="F20" s="10"/>
      <c r="G20" s="5"/>
      <c r="I20" s="6"/>
    </row>
    <row r="21" ht="13.5" customHeight="1">
      <c r="C21" s="9"/>
      <c r="D21" s="10"/>
      <c r="E21" s="10"/>
      <c r="F21" s="10"/>
      <c r="G21" s="5"/>
      <c r="I21" s="6"/>
    </row>
    <row r="22" ht="13.5" customHeight="1">
      <c r="C22" s="9"/>
      <c r="D22" s="10"/>
      <c r="E22" s="10"/>
      <c r="F22" s="10"/>
      <c r="G22" s="5"/>
      <c r="I22" s="6"/>
    </row>
    <row r="23" ht="13.5" customHeight="1">
      <c r="C23" s="9"/>
      <c r="D23" s="10"/>
      <c r="E23" s="10"/>
      <c r="F23" s="10"/>
      <c r="G23" s="5"/>
      <c r="I23" s="6"/>
    </row>
    <row r="24" ht="13.5" customHeight="1">
      <c r="G24" s="5"/>
      <c r="I24" s="6"/>
    </row>
    <row r="25" ht="13.5" customHeight="1">
      <c r="G25" s="5"/>
      <c r="I25" s="6"/>
    </row>
    <row r="26" ht="13.5" customHeight="1">
      <c r="G26" s="5"/>
      <c r="I26" s="6"/>
    </row>
    <row r="27" ht="13.5" customHeight="1">
      <c r="G27" s="5"/>
      <c r="I27" s="6"/>
    </row>
    <row r="28" ht="13.5" customHeight="1">
      <c r="G28" s="5"/>
      <c r="I28" s="6"/>
    </row>
    <row r="29" ht="13.5" customHeight="1">
      <c r="G29" s="5"/>
      <c r="I29" s="6"/>
    </row>
    <row r="30" ht="13.5" customHeight="1">
      <c r="G30" s="5"/>
      <c r="I30" s="6"/>
    </row>
    <row r="31" ht="13.5" customHeight="1">
      <c r="G31" s="5"/>
      <c r="I31" s="6"/>
    </row>
    <row r="32" ht="13.5" customHeight="1">
      <c r="G32" s="5"/>
      <c r="I32" s="6"/>
    </row>
    <row r="33" ht="13.5" customHeight="1">
      <c r="G33" s="5"/>
      <c r="I33" s="6"/>
    </row>
    <row r="34" ht="13.5" customHeight="1">
      <c r="G34" s="5"/>
      <c r="I34" s="6"/>
    </row>
    <row r="35" ht="13.5" customHeight="1">
      <c r="G35" s="5"/>
      <c r="I35" s="6"/>
    </row>
    <row r="36" ht="13.5" customHeight="1">
      <c r="G36" s="5"/>
      <c r="I36" s="6"/>
    </row>
    <row r="37" ht="13.5" customHeight="1">
      <c r="G37" s="5"/>
      <c r="I37" s="6"/>
    </row>
    <row r="38" ht="13.5" customHeight="1">
      <c r="G38" s="5"/>
      <c r="I38" s="6"/>
    </row>
    <row r="39" ht="13.5" customHeight="1">
      <c r="G39" s="11"/>
      <c r="H39" s="12"/>
      <c r="I39" s="13"/>
    </row>
    <row r="40" ht="13.5" customHeight="1">
      <c r="A40" s="14" t="s">
        <v>2</v>
      </c>
    </row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>
      <c r="A47" s="14" t="s">
        <v>3</v>
      </c>
    </row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">
    <mergeCell ref="A2:F15"/>
    <mergeCell ref="G2:I39"/>
    <mergeCell ref="A40:I46"/>
    <mergeCell ref="A47:I52"/>
  </mergeCells>
  <printOptions/>
  <pageMargins bottom="0.75" footer="0.0" header="0.0" left="0.7" right="0.7" top="0.75"/>
  <pageSetup paperSize="9" scale="9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13" width="5.29"/>
    <col customWidth="1" min="14" max="14" width="3.71"/>
    <col customWidth="1" min="15" max="16" width="0.86"/>
    <col customWidth="1" min="17" max="26" width="8.86"/>
  </cols>
  <sheetData>
    <row r="1" ht="19.5" customHeight="1">
      <c r="A1" s="15" t="s">
        <v>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  <c r="O1" s="18"/>
      <c r="P1" s="18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4.5" customHeight="1">
      <c r="A2" s="20"/>
      <c r="B2" s="21"/>
      <c r="C2" s="22"/>
      <c r="D2" s="22"/>
      <c r="E2" s="22"/>
      <c r="F2" s="23"/>
      <c r="G2" s="22"/>
      <c r="H2" s="21"/>
      <c r="I2" s="22"/>
      <c r="J2" s="22"/>
      <c r="K2" s="22"/>
      <c r="L2" s="23"/>
      <c r="M2" s="22"/>
      <c r="N2" s="24"/>
      <c r="O2" s="22"/>
      <c r="P2" s="22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5.0" customHeight="1">
      <c r="A3" s="25" t="s">
        <v>5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7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15.0" customHeight="1">
      <c r="A4" s="25" t="s">
        <v>6</v>
      </c>
      <c r="B4" s="26"/>
      <c r="C4" s="26"/>
      <c r="D4" s="26"/>
      <c r="E4" s="26"/>
      <c r="F4" s="29"/>
      <c r="G4" s="26"/>
      <c r="H4" s="26"/>
      <c r="I4" s="26"/>
      <c r="J4" s="26"/>
      <c r="K4" s="26"/>
      <c r="L4" s="29"/>
      <c r="M4" s="26"/>
      <c r="N4" s="30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16.5" customHeight="1">
      <c r="A5" s="31"/>
      <c r="B5" s="32"/>
      <c r="C5" s="32"/>
      <c r="D5" s="32"/>
      <c r="E5" s="32"/>
      <c r="F5" s="33"/>
      <c r="G5" s="32"/>
      <c r="H5" s="32"/>
      <c r="I5" s="32"/>
      <c r="J5" s="32"/>
      <c r="K5" s="32"/>
      <c r="L5" s="33"/>
      <c r="M5" s="32"/>
      <c r="N5" s="34"/>
      <c r="O5" s="19"/>
      <c r="P5" s="19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6.5" customHeight="1">
      <c r="A6" s="35"/>
      <c r="B6" s="36"/>
      <c r="C6" s="36"/>
      <c r="D6" s="36"/>
      <c r="E6" s="36"/>
      <c r="F6" s="19"/>
      <c r="G6" s="36"/>
      <c r="H6" s="36"/>
      <c r="I6" s="36"/>
      <c r="J6" s="36"/>
      <c r="K6" s="36"/>
      <c r="L6" s="19"/>
      <c r="M6" s="36"/>
      <c r="N6" s="37"/>
      <c r="O6" s="19"/>
      <c r="P6" s="19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6.5" customHeight="1">
      <c r="A7" s="35"/>
      <c r="B7" s="36"/>
      <c r="C7" s="36"/>
      <c r="D7" s="36"/>
      <c r="E7" s="36"/>
      <c r="F7" s="19"/>
      <c r="G7" s="36"/>
      <c r="H7" s="36"/>
      <c r="I7" s="36"/>
      <c r="J7" s="36"/>
      <c r="K7" s="36"/>
      <c r="L7" s="19"/>
      <c r="M7" s="36"/>
      <c r="N7" s="37"/>
      <c r="O7" s="19"/>
      <c r="P7" s="19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16.5" customHeight="1">
      <c r="A8" s="35"/>
      <c r="B8" s="36"/>
      <c r="C8" s="36"/>
      <c r="D8" s="36"/>
      <c r="E8" s="36"/>
      <c r="F8" s="19"/>
      <c r="G8" s="36"/>
      <c r="H8" s="36"/>
      <c r="I8" s="36"/>
      <c r="J8" s="36"/>
      <c r="K8" s="36"/>
      <c r="L8" s="19"/>
      <c r="M8" s="36"/>
      <c r="N8" s="37"/>
      <c r="O8" s="19"/>
      <c r="P8" s="19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6.5" customHeight="1">
      <c r="A9" s="35"/>
      <c r="B9" s="36"/>
      <c r="C9" s="36"/>
      <c r="D9" s="36"/>
      <c r="E9" s="36"/>
      <c r="F9" s="19"/>
      <c r="G9" s="36"/>
      <c r="H9" s="36"/>
      <c r="I9" s="36"/>
      <c r="J9" s="36"/>
      <c r="K9" s="36"/>
      <c r="L9" s="19"/>
      <c r="M9" s="36"/>
      <c r="N9" s="37"/>
      <c r="O9" s="19"/>
      <c r="P9" s="19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6.5" customHeight="1">
      <c r="A10" s="35"/>
      <c r="B10" s="36"/>
      <c r="C10" s="36"/>
      <c r="D10" s="36"/>
      <c r="E10" s="36"/>
      <c r="F10" s="19"/>
      <c r="G10" s="36"/>
      <c r="H10" s="36"/>
      <c r="I10" s="36"/>
      <c r="J10" s="36"/>
      <c r="K10" s="36"/>
      <c r="L10" s="19"/>
      <c r="M10" s="36"/>
      <c r="N10" s="37"/>
      <c r="O10" s="19"/>
      <c r="P10" s="19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6.5" customHeight="1">
      <c r="A11" s="35"/>
      <c r="B11" s="36"/>
      <c r="C11" s="36"/>
      <c r="D11" s="36"/>
      <c r="E11" s="36"/>
      <c r="F11" s="19"/>
      <c r="G11" s="36"/>
      <c r="H11" s="36"/>
      <c r="I11" s="36"/>
      <c r="J11" s="36"/>
      <c r="K11" s="36"/>
      <c r="L11" s="19"/>
      <c r="M11" s="36"/>
      <c r="N11" s="37"/>
      <c r="O11" s="19"/>
      <c r="P11" s="19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6.5" customHeight="1">
      <c r="A12" s="35"/>
      <c r="B12" s="36"/>
      <c r="C12" s="36"/>
      <c r="D12" s="36"/>
      <c r="E12" s="36"/>
      <c r="F12" s="19"/>
      <c r="G12" s="36"/>
      <c r="H12" s="36"/>
      <c r="I12" s="36"/>
      <c r="J12" s="36"/>
      <c r="K12" s="36"/>
      <c r="L12" s="19"/>
      <c r="M12" s="36"/>
      <c r="N12" s="37"/>
      <c r="O12" s="19"/>
      <c r="P12" s="19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6.5" customHeight="1">
      <c r="A13" s="35"/>
      <c r="B13" s="36"/>
      <c r="C13" s="36"/>
      <c r="D13" s="36"/>
      <c r="E13" s="36"/>
      <c r="F13" s="19"/>
      <c r="G13" s="36"/>
      <c r="H13" s="36"/>
      <c r="I13" s="36"/>
      <c r="J13" s="36"/>
      <c r="K13" s="36"/>
      <c r="L13" s="19"/>
      <c r="M13" s="36"/>
      <c r="N13" s="37"/>
      <c r="O13" s="19"/>
      <c r="P13" s="19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6.5" customHeight="1">
      <c r="A14" s="35"/>
      <c r="B14" s="36"/>
      <c r="C14" s="36"/>
      <c r="D14" s="36"/>
      <c r="E14" s="36"/>
      <c r="F14" s="19"/>
      <c r="G14" s="36"/>
      <c r="H14" s="36"/>
      <c r="I14" s="36"/>
      <c r="J14" s="36"/>
      <c r="K14" s="36"/>
      <c r="L14" s="19"/>
      <c r="M14" s="36"/>
      <c r="N14" s="37"/>
      <c r="O14" s="19"/>
      <c r="P14" s="19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6.5" customHeight="1">
      <c r="A15" s="35"/>
      <c r="B15" s="36"/>
      <c r="C15" s="36"/>
      <c r="D15" s="36"/>
      <c r="E15" s="36"/>
      <c r="F15" s="19"/>
      <c r="G15" s="36"/>
      <c r="H15" s="36"/>
      <c r="I15" s="36"/>
      <c r="J15" s="36"/>
      <c r="K15" s="36"/>
      <c r="L15" s="19"/>
      <c r="M15" s="36"/>
      <c r="N15" s="37"/>
      <c r="O15" s="19"/>
      <c r="P15" s="19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6.5" customHeight="1">
      <c r="A16" s="38"/>
      <c r="B16" s="39"/>
      <c r="C16" s="39"/>
      <c r="D16" s="39"/>
      <c r="E16" s="39"/>
      <c r="F16" s="40"/>
      <c r="G16" s="39"/>
      <c r="H16" s="39"/>
      <c r="I16" s="39"/>
      <c r="J16" s="39"/>
      <c r="K16" s="39"/>
      <c r="L16" s="40"/>
      <c r="M16" s="39"/>
      <c r="N16" s="41"/>
      <c r="O16" s="19"/>
      <c r="P16" s="19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5.0" customHeight="1">
      <c r="A17" s="42" t="s">
        <v>7</v>
      </c>
      <c r="B17" s="43" t="s">
        <v>8</v>
      </c>
      <c r="C17" s="44"/>
      <c r="D17" s="45"/>
      <c r="E17" s="46" t="s">
        <v>9</v>
      </c>
      <c r="F17" s="44"/>
      <c r="G17" s="45"/>
      <c r="H17" s="46" t="s">
        <v>10</v>
      </c>
      <c r="I17" s="44"/>
      <c r="J17" s="45"/>
      <c r="K17" s="46" t="s">
        <v>11</v>
      </c>
      <c r="L17" s="44"/>
      <c r="M17" s="45"/>
      <c r="N17" s="47" t="s">
        <v>12</v>
      </c>
      <c r="O17" s="48"/>
      <c r="P17" s="4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5.0" customHeight="1">
      <c r="A18" s="49"/>
      <c r="B18" s="50" t="s">
        <v>13</v>
      </c>
      <c r="C18" s="50" t="s">
        <v>14</v>
      </c>
      <c r="D18" s="43" t="s">
        <v>15</v>
      </c>
      <c r="E18" s="51" t="s">
        <v>13</v>
      </c>
      <c r="F18" s="50" t="s">
        <v>14</v>
      </c>
      <c r="G18" s="43" t="s">
        <v>15</v>
      </c>
      <c r="H18" s="51" t="s">
        <v>13</v>
      </c>
      <c r="I18" s="50" t="s">
        <v>14</v>
      </c>
      <c r="J18" s="43" t="s">
        <v>15</v>
      </c>
      <c r="K18" s="51" t="s">
        <v>13</v>
      </c>
      <c r="L18" s="50" t="s">
        <v>14</v>
      </c>
      <c r="M18" s="52" t="s">
        <v>15</v>
      </c>
      <c r="N18" s="53"/>
      <c r="O18" s="48"/>
      <c r="P18" s="4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5.0" customHeight="1">
      <c r="A19" s="54"/>
      <c r="B19" s="55" t="s">
        <v>16</v>
      </c>
      <c r="C19" s="55" t="s">
        <v>17</v>
      </c>
      <c r="D19" s="56" t="s">
        <v>18</v>
      </c>
      <c r="E19" s="57" t="s">
        <v>16</v>
      </c>
      <c r="F19" s="55" t="s">
        <v>17</v>
      </c>
      <c r="G19" s="56" t="s">
        <v>18</v>
      </c>
      <c r="H19" s="57" t="s">
        <v>16</v>
      </c>
      <c r="I19" s="55" t="s">
        <v>17</v>
      </c>
      <c r="J19" s="56" t="s">
        <v>18</v>
      </c>
      <c r="K19" s="57" t="s">
        <v>16</v>
      </c>
      <c r="L19" s="55" t="s">
        <v>17</v>
      </c>
      <c r="M19" s="58" t="s">
        <v>18</v>
      </c>
      <c r="N19" s="59"/>
      <c r="O19" s="60"/>
      <c r="P19" s="60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5.0" customHeight="1">
      <c r="A20" s="61">
        <v>45978.0</v>
      </c>
      <c r="B20" s="62">
        <v>2851.0</v>
      </c>
      <c r="C20" s="62"/>
      <c r="D20" s="63"/>
      <c r="E20" s="64">
        <f t="shared" ref="E20:E25" si="1">(B20-$B$20)*2.1</f>
        <v>0</v>
      </c>
      <c r="F20" s="65"/>
      <c r="G20" s="66"/>
      <c r="H20" s="64">
        <f t="shared" ref="H20:H25" si="2">E20*0.0980665</f>
        <v>0</v>
      </c>
      <c r="I20" s="65"/>
      <c r="J20" s="67"/>
      <c r="K20" s="64">
        <f t="shared" ref="K20:K25" si="3">(E20*119.8)/1000</f>
        <v>0</v>
      </c>
      <c r="L20" s="65"/>
      <c r="M20" s="67"/>
      <c r="N20" s="68"/>
      <c r="O20" s="69"/>
      <c r="P20" s="69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 ht="15.0" customHeight="1">
      <c r="A21" s="61">
        <v>45981.0</v>
      </c>
      <c r="B21" s="62">
        <v>2855.0</v>
      </c>
      <c r="C21" s="62"/>
      <c r="D21" s="63"/>
      <c r="E21" s="64">
        <f t="shared" si="1"/>
        <v>8.4</v>
      </c>
      <c r="F21" s="65"/>
      <c r="G21" s="66"/>
      <c r="H21" s="64">
        <f t="shared" si="2"/>
        <v>0.8237586</v>
      </c>
      <c r="I21" s="65"/>
      <c r="J21" s="67"/>
      <c r="K21" s="64">
        <f t="shared" si="3"/>
        <v>1.00632</v>
      </c>
      <c r="L21" s="65"/>
      <c r="M21" s="67"/>
      <c r="N21" s="68"/>
      <c r="O21" s="69"/>
      <c r="P21" s="69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 ht="15.0" customHeight="1">
      <c r="A22" s="61">
        <v>45985.0</v>
      </c>
      <c r="B22" s="62">
        <v>2863.0</v>
      </c>
      <c r="C22" s="62">
        <v>2851.0</v>
      </c>
      <c r="D22" s="63"/>
      <c r="E22" s="64">
        <f t="shared" si="1"/>
        <v>25.2</v>
      </c>
      <c r="F22" s="65">
        <f t="shared" ref="F22:F25" si="4">(C22-$C$22)*2.1</f>
        <v>0</v>
      </c>
      <c r="G22" s="66"/>
      <c r="H22" s="64">
        <f t="shared" si="2"/>
        <v>2.4712758</v>
      </c>
      <c r="I22" s="65">
        <f t="shared" ref="I22:I25" si="5">F22*0.0980665</f>
        <v>0</v>
      </c>
      <c r="J22" s="67"/>
      <c r="K22" s="64">
        <f t="shared" si="3"/>
        <v>3.01896</v>
      </c>
      <c r="L22" s="65">
        <f t="shared" ref="L22:L25" si="6">(F22*119.8)/1000</f>
        <v>0</v>
      </c>
      <c r="M22" s="67"/>
      <c r="N22" s="68"/>
      <c r="O22" s="69"/>
      <c r="P22" s="69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 ht="15.0" customHeight="1">
      <c r="A23" s="61">
        <v>45988.0</v>
      </c>
      <c r="B23" s="62">
        <v>2858.0</v>
      </c>
      <c r="C23" s="62">
        <v>2853.0</v>
      </c>
      <c r="D23" s="63"/>
      <c r="E23" s="64">
        <f t="shared" si="1"/>
        <v>14.7</v>
      </c>
      <c r="F23" s="65">
        <f t="shared" si="4"/>
        <v>4.2</v>
      </c>
      <c r="G23" s="66"/>
      <c r="H23" s="64">
        <f t="shared" si="2"/>
        <v>1.44157755</v>
      </c>
      <c r="I23" s="65">
        <f t="shared" si="5"/>
        <v>0.4118793</v>
      </c>
      <c r="J23" s="67"/>
      <c r="K23" s="64">
        <f t="shared" si="3"/>
        <v>1.76106</v>
      </c>
      <c r="L23" s="65">
        <f t="shared" si="6"/>
        <v>0.50316</v>
      </c>
      <c r="M23" s="67"/>
      <c r="N23" s="68"/>
      <c r="O23" s="69"/>
      <c r="P23" s="69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 ht="15.0" customHeight="1">
      <c r="A24" s="61">
        <v>45992.0</v>
      </c>
      <c r="B24" s="62">
        <v>2846.0</v>
      </c>
      <c r="C24" s="62">
        <v>2861.0</v>
      </c>
      <c r="D24" s="63"/>
      <c r="E24" s="64">
        <f t="shared" si="1"/>
        <v>-10.5</v>
      </c>
      <c r="F24" s="65">
        <f t="shared" si="4"/>
        <v>21</v>
      </c>
      <c r="G24" s="66"/>
      <c r="H24" s="64">
        <f t="shared" si="2"/>
        <v>-1.02969825</v>
      </c>
      <c r="I24" s="65">
        <f t="shared" si="5"/>
        <v>2.0593965</v>
      </c>
      <c r="J24" s="67"/>
      <c r="K24" s="64">
        <f t="shared" si="3"/>
        <v>-1.2579</v>
      </c>
      <c r="L24" s="65">
        <f t="shared" si="6"/>
        <v>2.5158</v>
      </c>
      <c r="M24" s="67"/>
      <c r="N24" s="68"/>
      <c r="O24" s="69"/>
      <c r="P24" s="69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 ht="15.0" customHeight="1">
      <c r="A25" s="61">
        <v>45995.0</v>
      </c>
      <c r="B25" s="62">
        <v>2840.0</v>
      </c>
      <c r="C25" s="62">
        <v>2860.0</v>
      </c>
      <c r="D25" s="63"/>
      <c r="E25" s="64">
        <f t="shared" si="1"/>
        <v>-23.1</v>
      </c>
      <c r="F25" s="65">
        <f t="shared" si="4"/>
        <v>18.9</v>
      </c>
      <c r="G25" s="66"/>
      <c r="H25" s="64">
        <f t="shared" si="2"/>
        <v>-2.26533615</v>
      </c>
      <c r="I25" s="65">
        <f t="shared" si="5"/>
        <v>1.85345685</v>
      </c>
      <c r="J25" s="67"/>
      <c r="K25" s="64">
        <f t="shared" si="3"/>
        <v>-2.76738</v>
      </c>
      <c r="L25" s="65">
        <f t="shared" si="6"/>
        <v>2.26422</v>
      </c>
      <c r="M25" s="67"/>
      <c r="N25" s="71"/>
      <c r="O25" s="72"/>
      <c r="P25" s="72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 ht="15.0" customHeight="1">
      <c r="A26" s="61"/>
      <c r="B26" s="62"/>
      <c r="C26" s="62"/>
      <c r="D26" s="63"/>
      <c r="E26" s="64"/>
      <c r="F26" s="65"/>
      <c r="G26" s="65"/>
      <c r="H26" s="64"/>
      <c r="I26" s="65"/>
      <c r="J26" s="65"/>
      <c r="K26" s="64"/>
      <c r="L26" s="65"/>
      <c r="M26" s="67"/>
      <c r="N26" s="71"/>
      <c r="O26" s="72"/>
      <c r="P26" s="72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ht="15.0" customHeight="1">
      <c r="A27" s="61"/>
      <c r="B27" s="62"/>
      <c r="C27" s="62"/>
      <c r="D27" s="62"/>
      <c r="E27" s="64"/>
      <c r="F27" s="65"/>
      <c r="G27" s="65"/>
      <c r="H27" s="64"/>
      <c r="I27" s="65"/>
      <c r="J27" s="65"/>
      <c r="K27" s="64"/>
      <c r="L27" s="65"/>
      <c r="M27" s="67"/>
      <c r="N27" s="71"/>
      <c r="O27" s="72"/>
      <c r="P27" s="72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ht="15.0" customHeight="1">
      <c r="A28" s="61"/>
      <c r="B28" s="62"/>
      <c r="C28" s="62"/>
      <c r="D28" s="62"/>
      <c r="E28" s="64"/>
      <c r="F28" s="65"/>
      <c r="G28" s="65"/>
      <c r="H28" s="64"/>
      <c r="I28" s="65"/>
      <c r="J28" s="65"/>
      <c r="K28" s="64"/>
      <c r="L28" s="65"/>
      <c r="M28" s="67"/>
      <c r="N28" s="71"/>
      <c r="O28" s="72"/>
      <c r="P28" s="72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 ht="15.0" customHeight="1">
      <c r="A29" s="61"/>
      <c r="B29" s="62"/>
      <c r="C29" s="62"/>
      <c r="D29" s="63"/>
      <c r="E29" s="64"/>
      <c r="F29" s="65"/>
      <c r="G29" s="65"/>
      <c r="H29" s="64"/>
      <c r="I29" s="65"/>
      <c r="J29" s="65"/>
      <c r="K29" s="64"/>
      <c r="L29" s="65"/>
      <c r="M29" s="67"/>
      <c r="N29" s="71"/>
      <c r="O29" s="72"/>
      <c r="P29" s="72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 ht="15.0" customHeight="1">
      <c r="A30" s="61"/>
      <c r="B30" s="62"/>
      <c r="C30" s="62"/>
      <c r="D30" s="63"/>
      <c r="E30" s="64"/>
      <c r="F30" s="65"/>
      <c r="G30" s="65"/>
      <c r="H30" s="64"/>
      <c r="I30" s="74"/>
      <c r="J30" s="75"/>
      <c r="K30" s="64"/>
      <c r="L30" s="75"/>
      <c r="M30" s="67"/>
      <c r="N30" s="76"/>
      <c r="O30" s="72"/>
      <c r="P30" s="72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 ht="15.0" customHeight="1">
      <c r="A31" s="61"/>
      <c r="B31" s="62"/>
      <c r="C31" s="62"/>
      <c r="D31" s="63"/>
      <c r="E31" s="64"/>
      <c r="F31" s="65"/>
      <c r="G31" s="65"/>
      <c r="H31" s="64"/>
      <c r="I31" s="74"/>
      <c r="J31" s="75"/>
      <c r="K31" s="64"/>
      <c r="L31" s="75"/>
      <c r="M31" s="67"/>
      <c r="N31" s="71"/>
      <c r="O31" s="72"/>
      <c r="P31" s="72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 ht="15.0" customHeight="1">
      <c r="A32" s="61"/>
      <c r="B32" s="62"/>
      <c r="C32" s="62"/>
      <c r="D32" s="63"/>
      <c r="E32" s="64"/>
      <c r="F32" s="65"/>
      <c r="G32" s="65"/>
      <c r="H32" s="64"/>
      <c r="I32" s="74"/>
      <c r="J32" s="75"/>
      <c r="K32" s="64"/>
      <c r="L32" s="75"/>
      <c r="M32" s="67"/>
      <c r="N32" s="71"/>
      <c r="O32" s="72"/>
      <c r="P32" s="72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ht="15.0" customHeight="1">
      <c r="A33" s="61"/>
      <c r="B33" s="62"/>
      <c r="C33" s="62"/>
      <c r="D33" s="63"/>
      <c r="E33" s="64"/>
      <c r="F33" s="65"/>
      <c r="G33" s="65"/>
      <c r="H33" s="64"/>
      <c r="I33" s="74"/>
      <c r="J33" s="75"/>
      <c r="K33" s="64"/>
      <c r="L33" s="75"/>
      <c r="M33" s="67"/>
      <c r="N33" s="76"/>
      <c r="O33" s="72"/>
      <c r="P33" s="72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 ht="15.0" customHeight="1">
      <c r="A34" s="77"/>
      <c r="B34" s="78"/>
      <c r="C34" s="78"/>
      <c r="D34" s="78"/>
      <c r="E34" s="79"/>
      <c r="F34" s="80"/>
      <c r="G34" s="81"/>
      <c r="H34" s="79"/>
      <c r="I34" s="80"/>
      <c r="J34" s="82"/>
      <c r="K34" s="79"/>
      <c r="L34" s="83"/>
      <c r="M34" s="82"/>
      <c r="N34" s="71"/>
      <c r="O34" s="72"/>
      <c r="P34" s="72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 ht="15.0" customHeight="1">
      <c r="A35" s="77"/>
      <c r="B35" s="78"/>
      <c r="C35" s="78"/>
      <c r="D35" s="78"/>
      <c r="E35" s="79"/>
      <c r="F35" s="80"/>
      <c r="G35" s="81"/>
      <c r="H35" s="79"/>
      <c r="I35" s="80"/>
      <c r="J35" s="82"/>
      <c r="K35" s="79"/>
      <c r="L35" s="83"/>
      <c r="M35" s="82"/>
      <c r="N35" s="71"/>
      <c r="O35" s="72"/>
      <c r="P35" s="72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 ht="15.0" customHeight="1">
      <c r="A36" s="77"/>
      <c r="B36" s="78"/>
      <c r="C36" s="78"/>
      <c r="D36" s="78"/>
      <c r="E36" s="79"/>
      <c r="F36" s="80"/>
      <c r="G36" s="81"/>
      <c r="H36" s="79"/>
      <c r="I36" s="80"/>
      <c r="J36" s="82"/>
      <c r="K36" s="79"/>
      <c r="L36" s="83"/>
      <c r="M36" s="82"/>
      <c r="N36" s="71"/>
      <c r="O36" s="72"/>
      <c r="P36" s="72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 ht="15.0" customHeight="1">
      <c r="A37" s="77"/>
      <c r="B37" s="78"/>
      <c r="C37" s="78"/>
      <c r="D37" s="78"/>
      <c r="E37" s="79"/>
      <c r="F37" s="80"/>
      <c r="G37" s="81"/>
      <c r="H37" s="79"/>
      <c r="I37" s="80"/>
      <c r="J37" s="82"/>
      <c r="K37" s="79"/>
      <c r="L37" s="83"/>
      <c r="M37" s="82"/>
      <c r="N37" s="71"/>
      <c r="O37" s="72"/>
      <c r="P37" s="72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ht="15.0" customHeight="1">
      <c r="A38" s="77"/>
      <c r="B38" s="78"/>
      <c r="C38" s="78"/>
      <c r="D38" s="78"/>
      <c r="E38" s="79"/>
      <c r="F38" s="80"/>
      <c r="G38" s="81"/>
      <c r="H38" s="79"/>
      <c r="I38" s="80"/>
      <c r="J38" s="82"/>
      <c r="K38" s="79"/>
      <c r="L38" s="83"/>
      <c r="M38" s="82"/>
      <c r="N38" s="71"/>
      <c r="O38" s="72"/>
      <c r="P38" s="72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ht="15.0" customHeight="1">
      <c r="A39" s="77"/>
      <c r="B39" s="78"/>
      <c r="C39" s="78"/>
      <c r="D39" s="78"/>
      <c r="E39" s="79"/>
      <c r="F39" s="80"/>
      <c r="G39" s="81"/>
      <c r="H39" s="79"/>
      <c r="I39" s="80"/>
      <c r="J39" s="82"/>
      <c r="K39" s="79"/>
      <c r="L39" s="83"/>
      <c r="M39" s="82"/>
      <c r="N39" s="71"/>
      <c r="O39" s="72"/>
      <c r="P39" s="72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 ht="15.0" customHeight="1">
      <c r="A40" s="77"/>
      <c r="B40" s="78"/>
      <c r="C40" s="78"/>
      <c r="D40" s="78"/>
      <c r="E40" s="79"/>
      <c r="F40" s="80"/>
      <c r="G40" s="81"/>
      <c r="H40" s="79"/>
      <c r="I40" s="80"/>
      <c r="J40" s="82"/>
      <c r="K40" s="79"/>
      <c r="L40" s="83"/>
      <c r="M40" s="82"/>
      <c r="N40" s="71"/>
      <c r="O40" s="72"/>
      <c r="P40" s="72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ht="15.0" customHeight="1">
      <c r="A41" s="77"/>
      <c r="B41" s="78"/>
      <c r="C41" s="78"/>
      <c r="D41" s="78"/>
      <c r="E41" s="79"/>
      <c r="F41" s="80"/>
      <c r="G41" s="81"/>
      <c r="H41" s="79"/>
      <c r="I41" s="80"/>
      <c r="J41" s="82"/>
      <c r="K41" s="79"/>
      <c r="L41" s="83"/>
      <c r="M41" s="82"/>
      <c r="N41" s="71"/>
      <c r="O41" s="72"/>
      <c r="P41" s="72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 ht="15.0" customHeight="1">
      <c r="A42" s="77"/>
      <c r="B42" s="78"/>
      <c r="C42" s="78"/>
      <c r="D42" s="78"/>
      <c r="E42" s="79"/>
      <c r="F42" s="80"/>
      <c r="G42" s="81"/>
      <c r="H42" s="79"/>
      <c r="I42" s="80"/>
      <c r="J42" s="82"/>
      <c r="K42" s="79"/>
      <c r="L42" s="83"/>
      <c r="M42" s="82"/>
      <c r="N42" s="71"/>
      <c r="O42" s="72"/>
      <c r="P42" s="72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 ht="15.0" customHeight="1">
      <c r="A43" s="77"/>
      <c r="B43" s="78"/>
      <c r="C43" s="78"/>
      <c r="D43" s="78"/>
      <c r="E43" s="79"/>
      <c r="F43" s="80"/>
      <c r="G43" s="81"/>
      <c r="H43" s="79"/>
      <c r="I43" s="80"/>
      <c r="J43" s="82"/>
      <c r="K43" s="79"/>
      <c r="L43" s="83"/>
      <c r="M43" s="82"/>
      <c r="N43" s="71"/>
      <c r="O43" s="72"/>
      <c r="P43" s="72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ht="15.0" customHeight="1">
      <c r="A44" s="77"/>
      <c r="B44" s="78"/>
      <c r="C44" s="78"/>
      <c r="D44" s="78"/>
      <c r="E44" s="79"/>
      <c r="F44" s="80"/>
      <c r="G44" s="81"/>
      <c r="H44" s="79"/>
      <c r="I44" s="80"/>
      <c r="J44" s="82"/>
      <c r="K44" s="79"/>
      <c r="L44" s="83"/>
      <c r="M44" s="82"/>
      <c r="N44" s="71"/>
      <c r="O44" s="72"/>
      <c r="P44" s="72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ht="15.0" customHeight="1">
      <c r="A45" s="77"/>
      <c r="B45" s="78"/>
      <c r="C45" s="78"/>
      <c r="D45" s="78"/>
      <c r="E45" s="79"/>
      <c r="F45" s="80"/>
      <c r="G45" s="81"/>
      <c r="H45" s="79"/>
      <c r="I45" s="80"/>
      <c r="J45" s="82"/>
      <c r="K45" s="79"/>
      <c r="L45" s="83"/>
      <c r="M45" s="82"/>
      <c r="N45" s="71"/>
      <c r="O45" s="72"/>
      <c r="P45" s="72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ht="15.0" customHeight="1">
      <c r="A46" s="77"/>
      <c r="B46" s="78"/>
      <c r="C46" s="78"/>
      <c r="D46" s="78"/>
      <c r="E46" s="79"/>
      <c r="F46" s="80"/>
      <c r="G46" s="81"/>
      <c r="H46" s="79"/>
      <c r="I46" s="80"/>
      <c r="J46" s="82"/>
      <c r="K46" s="79"/>
      <c r="L46" s="83"/>
      <c r="M46" s="82"/>
      <c r="N46" s="71"/>
      <c r="O46" s="72"/>
      <c r="P46" s="72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ht="15.0" customHeight="1">
      <c r="A47" s="77"/>
      <c r="B47" s="78"/>
      <c r="C47" s="78"/>
      <c r="D47" s="78"/>
      <c r="E47" s="79"/>
      <c r="F47" s="80"/>
      <c r="G47" s="81"/>
      <c r="H47" s="79"/>
      <c r="I47" s="80"/>
      <c r="J47" s="82"/>
      <c r="K47" s="79"/>
      <c r="L47" s="83"/>
      <c r="M47" s="82"/>
      <c r="N47" s="71"/>
      <c r="O47" s="72"/>
      <c r="P47" s="72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 ht="15.0" customHeight="1">
      <c r="A48" s="77"/>
      <c r="B48" s="78"/>
      <c r="C48" s="78"/>
      <c r="D48" s="78"/>
      <c r="E48" s="79"/>
      <c r="F48" s="80"/>
      <c r="G48" s="81"/>
      <c r="H48" s="79"/>
      <c r="I48" s="80"/>
      <c r="J48" s="82"/>
      <c r="K48" s="79"/>
      <c r="L48" s="83"/>
      <c r="M48" s="82"/>
      <c r="N48" s="71"/>
      <c r="O48" s="72"/>
      <c r="P48" s="72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 ht="15.0" customHeight="1">
      <c r="A49" s="77"/>
      <c r="B49" s="78"/>
      <c r="C49" s="78"/>
      <c r="D49" s="78"/>
      <c r="E49" s="79"/>
      <c r="F49" s="80"/>
      <c r="G49" s="81"/>
      <c r="H49" s="79"/>
      <c r="I49" s="80"/>
      <c r="J49" s="82"/>
      <c r="K49" s="79"/>
      <c r="L49" s="83"/>
      <c r="M49" s="82"/>
      <c r="N49" s="71"/>
      <c r="O49" s="72"/>
      <c r="P49" s="72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 ht="15.0" customHeight="1">
      <c r="A50" s="77"/>
      <c r="B50" s="78"/>
      <c r="C50" s="78"/>
      <c r="D50" s="78"/>
      <c r="E50" s="79"/>
      <c r="F50" s="80"/>
      <c r="G50" s="81"/>
      <c r="H50" s="79"/>
      <c r="I50" s="80"/>
      <c r="J50" s="82"/>
      <c r="K50" s="79"/>
      <c r="L50" s="83"/>
      <c r="M50" s="82"/>
      <c r="N50" s="71"/>
      <c r="O50" s="72"/>
      <c r="P50" s="72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ht="15.0" customHeight="1">
      <c r="A51" s="77"/>
      <c r="B51" s="78"/>
      <c r="C51" s="78"/>
      <c r="D51" s="78"/>
      <c r="E51" s="79"/>
      <c r="F51" s="80"/>
      <c r="G51" s="81"/>
      <c r="H51" s="79"/>
      <c r="I51" s="80"/>
      <c r="J51" s="82"/>
      <c r="K51" s="79"/>
      <c r="L51" s="83"/>
      <c r="M51" s="82"/>
      <c r="N51" s="71"/>
      <c r="O51" s="72"/>
      <c r="P51" s="72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 ht="15.0" customHeight="1">
      <c r="A52" s="77"/>
      <c r="B52" s="78"/>
      <c r="C52" s="78"/>
      <c r="D52" s="78"/>
      <c r="E52" s="79"/>
      <c r="F52" s="80"/>
      <c r="G52" s="81"/>
      <c r="H52" s="79"/>
      <c r="I52" s="80"/>
      <c r="J52" s="82"/>
      <c r="K52" s="79"/>
      <c r="L52" s="83"/>
      <c r="M52" s="82"/>
      <c r="N52" s="71"/>
      <c r="O52" s="72"/>
      <c r="P52" s="72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ht="15.0" customHeight="1">
      <c r="A53" s="77"/>
      <c r="B53" s="78"/>
      <c r="C53" s="78"/>
      <c r="D53" s="78"/>
      <c r="E53" s="79"/>
      <c r="F53" s="80"/>
      <c r="G53" s="81"/>
      <c r="H53" s="79"/>
      <c r="I53" s="80"/>
      <c r="J53" s="82"/>
      <c r="K53" s="79"/>
      <c r="L53" s="83"/>
      <c r="M53" s="82"/>
      <c r="N53" s="71"/>
      <c r="O53" s="72"/>
      <c r="P53" s="72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ht="15.0" customHeight="1">
      <c r="A54" s="77"/>
      <c r="B54" s="78"/>
      <c r="C54" s="78"/>
      <c r="D54" s="78"/>
      <c r="E54" s="79"/>
      <c r="F54" s="80"/>
      <c r="G54" s="81"/>
      <c r="H54" s="79"/>
      <c r="I54" s="80"/>
      <c r="J54" s="82"/>
      <c r="K54" s="79"/>
      <c r="L54" s="83"/>
      <c r="M54" s="82"/>
      <c r="N54" s="71"/>
      <c r="O54" s="72"/>
      <c r="P54" s="72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ht="15.0" customHeight="1">
      <c r="A55" s="77"/>
      <c r="B55" s="78"/>
      <c r="C55" s="78"/>
      <c r="D55" s="78"/>
      <c r="E55" s="79"/>
      <c r="F55" s="80"/>
      <c r="G55" s="81"/>
      <c r="H55" s="79"/>
      <c r="I55" s="80"/>
      <c r="J55" s="82"/>
      <c r="K55" s="79"/>
      <c r="L55" s="83"/>
      <c r="M55" s="82"/>
      <c r="N55" s="71"/>
      <c r="O55" s="72"/>
      <c r="P55" s="72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 ht="15.0" customHeight="1">
      <c r="A56" s="77"/>
      <c r="B56" s="78"/>
      <c r="C56" s="78"/>
      <c r="D56" s="78"/>
      <c r="E56" s="79"/>
      <c r="F56" s="80"/>
      <c r="G56" s="81"/>
      <c r="H56" s="79"/>
      <c r="I56" s="80"/>
      <c r="J56" s="82"/>
      <c r="K56" s="79"/>
      <c r="L56" s="83"/>
      <c r="M56" s="82"/>
      <c r="N56" s="71"/>
      <c r="O56" s="72"/>
      <c r="P56" s="72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 ht="15.0" customHeight="1">
      <c r="A57" s="77"/>
      <c r="B57" s="78"/>
      <c r="C57" s="78"/>
      <c r="D57" s="78"/>
      <c r="E57" s="79"/>
      <c r="F57" s="80"/>
      <c r="G57" s="81"/>
      <c r="H57" s="79"/>
      <c r="I57" s="80"/>
      <c r="J57" s="82"/>
      <c r="K57" s="79"/>
      <c r="L57" s="83"/>
      <c r="M57" s="82"/>
      <c r="N57" s="71"/>
      <c r="O57" s="72"/>
      <c r="P57" s="72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ht="15.0" customHeight="1">
      <c r="A58" s="77"/>
      <c r="B58" s="78"/>
      <c r="C58" s="78"/>
      <c r="D58" s="78"/>
      <c r="E58" s="79"/>
      <c r="F58" s="80"/>
      <c r="G58" s="81"/>
      <c r="H58" s="79"/>
      <c r="I58" s="80"/>
      <c r="J58" s="82"/>
      <c r="K58" s="79"/>
      <c r="L58" s="83"/>
      <c r="M58" s="82"/>
      <c r="N58" s="71"/>
      <c r="O58" s="72"/>
      <c r="P58" s="72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ht="15.0" customHeight="1">
      <c r="A59" s="77"/>
      <c r="B59" s="78"/>
      <c r="C59" s="78"/>
      <c r="D59" s="78"/>
      <c r="E59" s="79"/>
      <c r="F59" s="80"/>
      <c r="G59" s="81"/>
      <c r="H59" s="79"/>
      <c r="I59" s="80"/>
      <c r="J59" s="82"/>
      <c r="K59" s="79"/>
      <c r="L59" s="83"/>
      <c r="M59" s="82"/>
      <c r="N59" s="71"/>
      <c r="O59" s="72"/>
      <c r="P59" s="72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ht="15.0" customHeight="1">
      <c r="A60" s="77"/>
      <c r="B60" s="78"/>
      <c r="C60" s="78"/>
      <c r="D60" s="78"/>
      <c r="E60" s="79"/>
      <c r="F60" s="80"/>
      <c r="G60" s="81"/>
      <c r="H60" s="79"/>
      <c r="I60" s="80"/>
      <c r="J60" s="82"/>
      <c r="K60" s="79"/>
      <c r="L60" s="83"/>
      <c r="M60" s="82"/>
      <c r="N60" s="71"/>
      <c r="O60" s="72"/>
      <c r="P60" s="72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ht="15.0" customHeight="1">
      <c r="A61" s="77"/>
      <c r="B61" s="78"/>
      <c r="C61" s="78"/>
      <c r="D61" s="78"/>
      <c r="E61" s="79"/>
      <c r="F61" s="80"/>
      <c r="G61" s="81"/>
      <c r="H61" s="79"/>
      <c r="I61" s="80"/>
      <c r="J61" s="82"/>
      <c r="K61" s="79"/>
      <c r="L61" s="83"/>
      <c r="M61" s="82"/>
      <c r="N61" s="71"/>
      <c r="O61" s="72"/>
      <c r="P61" s="72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ht="15.0" customHeight="1">
      <c r="A62" s="77"/>
      <c r="B62" s="78"/>
      <c r="C62" s="78"/>
      <c r="D62" s="78"/>
      <c r="E62" s="79"/>
      <c r="F62" s="80"/>
      <c r="G62" s="81"/>
      <c r="H62" s="79"/>
      <c r="I62" s="80"/>
      <c r="J62" s="82"/>
      <c r="K62" s="79"/>
      <c r="L62" s="83"/>
      <c r="M62" s="82"/>
      <c r="N62" s="71"/>
      <c r="O62" s="72"/>
      <c r="P62" s="72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ht="15.0" customHeight="1">
      <c r="A63" s="77"/>
      <c r="B63" s="78"/>
      <c r="C63" s="78"/>
      <c r="D63" s="78"/>
      <c r="E63" s="79"/>
      <c r="F63" s="80"/>
      <c r="G63" s="81"/>
      <c r="H63" s="79"/>
      <c r="I63" s="80"/>
      <c r="J63" s="82"/>
      <c r="K63" s="79"/>
      <c r="L63" s="83"/>
      <c r="M63" s="82"/>
      <c r="N63" s="71"/>
      <c r="O63" s="72"/>
      <c r="P63" s="72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ht="15.0" customHeight="1">
      <c r="A64" s="77"/>
      <c r="B64" s="78"/>
      <c r="C64" s="78"/>
      <c r="D64" s="78"/>
      <c r="E64" s="79"/>
      <c r="F64" s="80"/>
      <c r="G64" s="81"/>
      <c r="H64" s="79"/>
      <c r="I64" s="80"/>
      <c r="J64" s="82"/>
      <c r="K64" s="79"/>
      <c r="L64" s="83"/>
      <c r="M64" s="82"/>
      <c r="N64" s="71"/>
      <c r="O64" s="72"/>
      <c r="P64" s="72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ht="15.0" customHeight="1">
      <c r="A65" s="77"/>
      <c r="B65" s="78"/>
      <c r="C65" s="78"/>
      <c r="D65" s="78"/>
      <c r="E65" s="79"/>
      <c r="F65" s="80"/>
      <c r="G65" s="81"/>
      <c r="H65" s="79"/>
      <c r="I65" s="80"/>
      <c r="J65" s="82"/>
      <c r="K65" s="79"/>
      <c r="L65" s="83"/>
      <c r="M65" s="82"/>
      <c r="N65" s="71"/>
      <c r="O65" s="72"/>
      <c r="P65" s="72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 ht="15.0" customHeight="1">
      <c r="A66" s="77"/>
      <c r="B66" s="78"/>
      <c r="C66" s="78"/>
      <c r="D66" s="78"/>
      <c r="E66" s="79"/>
      <c r="F66" s="80"/>
      <c r="G66" s="81"/>
      <c r="H66" s="79"/>
      <c r="I66" s="80"/>
      <c r="J66" s="82"/>
      <c r="K66" s="79"/>
      <c r="L66" s="83"/>
      <c r="M66" s="82"/>
      <c r="N66" s="71"/>
      <c r="O66" s="72"/>
      <c r="P66" s="72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ht="15.0" customHeight="1">
      <c r="A67" s="77"/>
      <c r="B67" s="78"/>
      <c r="C67" s="78"/>
      <c r="D67" s="78"/>
      <c r="E67" s="79"/>
      <c r="F67" s="80"/>
      <c r="G67" s="81"/>
      <c r="H67" s="79"/>
      <c r="I67" s="80"/>
      <c r="J67" s="82"/>
      <c r="K67" s="79"/>
      <c r="L67" s="83"/>
      <c r="M67" s="82"/>
      <c r="N67" s="71"/>
      <c r="O67" s="72"/>
      <c r="P67" s="72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ht="15.0" customHeight="1">
      <c r="A68" s="77"/>
      <c r="B68" s="78"/>
      <c r="C68" s="78"/>
      <c r="D68" s="78"/>
      <c r="E68" s="79"/>
      <c r="F68" s="80"/>
      <c r="G68" s="81"/>
      <c r="H68" s="79"/>
      <c r="I68" s="80"/>
      <c r="J68" s="82"/>
      <c r="K68" s="79"/>
      <c r="L68" s="83"/>
      <c r="M68" s="82"/>
      <c r="N68" s="71"/>
      <c r="O68" s="72"/>
      <c r="P68" s="72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ht="15.0" customHeight="1">
      <c r="A69" s="77"/>
      <c r="B69" s="78"/>
      <c r="C69" s="78"/>
      <c r="D69" s="78"/>
      <c r="E69" s="79"/>
      <c r="F69" s="80"/>
      <c r="G69" s="81"/>
      <c r="H69" s="79"/>
      <c r="I69" s="80"/>
      <c r="J69" s="82"/>
      <c r="K69" s="79"/>
      <c r="L69" s="83"/>
      <c r="M69" s="82"/>
      <c r="N69" s="71"/>
      <c r="O69" s="72"/>
      <c r="P69" s="72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ht="15.0" customHeight="1">
      <c r="A70" s="77"/>
      <c r="B70" s="78"/>
      <c r="C70" s="78"/>
      <c r="D70" s="84"/>
      <c r="E70" s="79"/>
      <c r="F70" s="80"/>
      <c r="G70" s="81"/>
      <c r="H70" s="79"/>
      <c r="I70" s="80"/>
      <c r="J70" s="82"/>
      <c r="K70" s="79"/>
      <c r="L70" s="83"/>
      <c r="M70" s="82"/>
      <c r="N70" s="71"/>
      <c r="O70" s="72"/>
      <c r="P70" s="72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ht="15.0" customHeight="1">
      <c r="A71" s="77"/>
      <c r="B71" s="78"/>
      <c r="C71" s="78"/>
      <c r="D71" s="84"/>
      <c r="E71" s="79"/>
      <c r="F71" s="80"/>
      <c r="G71" s="81"/>
      <c r="H71" s="79"/>
      <c r="I71" s="80"/>
      <c r="J71" s="82"/>
      <c r="K71" s="79"/>
      <c r="L71" s="83"/>
      <c r="M71" s="82"/>
      <c r="N71" s="71"/>
      <c r="O71" s="72"/>
      <c r="P71" s="72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ht="15.0" customHeight="1">
      <c r="A72" s="77"/>
      <c r="B72" s="78"/>
      <c r="C72" s="78"/>
      <c r="D72" s="84"/>
      <c r="E72" s="79"/>
      <c r="F72" s="80"/>
      <c r="G72" s="81"/>
      <c r="H72" s="79"/>
      <c r="I72" s="80"/>
      <c r="J72" s="82"/>
      <c r="K72" s="79"/>
      <c r="L72" s="83"/>
      <c r="M72" s="82"/>
      <c r="N72" s="71"/>
      <c r="O72" s="72"/>
      <c r="P72" s="72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ht="15.0" customHeight="1">
      <c r="A73" s="77"/>
      <c r="B73" s="78"/>
      <c r="C73" s="78"/>
      <c r="D73" s="84"/>
      <c r="E73" s="79"/>
      <c r="F73" s="80"/>
      <c r="G73" s="81"/>
      <c r="H73" s="79"/>
      <c r="I73" s="80"/>
      <c r="J73" s="82"/>
      <c r="K73" s="79"/>
      <c r="L73" s="83"/>
      <c r="M73" s="82"/>
      <c r="N73" s="71"/>
      <c r="O73" s="72"/>
      <c r="P73" s="72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ht="15.0" customHeight="1">
      <c r="A74" s="77"/>
      <c r="B74" s="78"/>
      <c r="C74" s="78"/>
      <c r="D74" s="84"/>
      <c r="E74" s="79"/>
      <c r="F74" s="80"/>
      <c r="G74" s="81"/>
      <c r="H74" s="79"/>
      <c r="I74" s="80"/>
      <c r="J74" s="82"/>
      <c r="K74" s="79"/>
      <c r="L74" s="83"/>
      <c r="M74" s="82"/>
      <c r="N74" s="71"/>
      <c r="O74" s="72"/>
      <c r="P74" s="72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ht="15.0" customHeight="1">
      <c r="A75" s="77"/>
      <c r="B75" s="78"/>
      <c r="C75" s="78"/>
      <c r="D75" s="84"/>
      <c r="E75" s="79"/>
      <c r="F75" s="80"/>
      <c r="G75" s="81"/>
      <c r="H75" s="79"/>
      <c r="I75" s="80"/>
      <c r="J75" s="82"/>
      <c r="K75" s="79"/>
      <c r="L75" s="83"/>
      <c r="M75" s="82"/>
      <c r="N75" s="71"/>
      <c r="O75" s="72"/>
      <c r="P75" s="72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ht="15.0" customHeight="1">
      <c r="A76" s="77"/>
      <c r="B76" s="78"/>
      <c r="C76" s="78"/>
      <c r="D76" s="84"/>
      <c r="E76" s="79"/>
      <c r="F76" s="80"/>
      <c r="G76" s="81"/>
      <c r="H76" s="79"/>
      <c r="I76" s="80"/>
      <c r="J76" s="82"/>
      <c r="K76" s="79"/>
      <c r="L76" s="83"/>
      <c r="M76" s="82"/>
      <c r="N76" s="71"/>
      <c r="O76" s="72"/>
      <c r="P76" s="72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ht="15.0" customHeight="1">
      <c r="A77" s="77"/>
      <c r="B77" s="78"/>
      <c r="C77" s="78"/>
      <c r="D77" s="84"/>
      <c r="E77" s="79"/>
      <c r="F77" s="80"/>
      <c r="G77" s="81"/>
      <c r="H77" s="79"/>
      <c r="I77" s="80"/>
      <c r="J77" s="82"/>
      <c r="K77" s="79"/>
      <c r="L77" s="83"/>
      <c r="M77" s="82"/>
      <c r="N77" s="71"/>
      <c r="O77" s="72"/>
      <c r="P77" s="72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ht="15.0" customHeight="1">
      <c r="A78" s="77"/>
      <c r="B78" s="78"/>
      <c r="C78" s="78"/>
      <c r="D78" s="84"/>
      <c r="E78" s="79"/>
      <c r="F78" s="80"/>
      <c r="G78" s="81"/>
      <c r="H78" s="79"/>
      <c r="I78" s="80"/>
      <c r="J78" s="82"/>
      <c r="K78" s="79"/>
      <c r="L78" s="83"/>
      <c r="M78" s="82"/>
      <c r="N78" s="71"/>
      <c r="O78" s="72"/>
      <c r="P78" s="72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ht="15.0" customHeight="1">
      <c r="A79" s="77"/>
      <c r="B79" s="78"/>
      <c r="C79" s="78"/>
      <c r="D79" s="84"/>
      <c r="E79" s="79"/>
      <c r="F79" s="80"/>
      <c r="G79" s="81"/>
      <c r="H79" s="79"/>
      <c r="I79" s="80"/>
      <c r="J79" s="82"/>
      <c r="K79" s="79"/>
      <c r="L79" s="83"/>
      <c r="M79" s="82"/>
      <c r="N79" s="71"/>
      <c r="O79" s="72"/>
      <c r="P79" s="72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ht="15.0" customHeight="1">
      <c r="A80" s="85"/>
      <c r="B80" s="78"/>
      <c r="C80" s="78"/>
      <c r="D80" s="84"/>
      <c r="E80" s="83"/>
      <c r="F80" s="80"/>
      <c r="G80" s="82"/>
      <c r="H80" s="83"/>
      <c r="I80" s="80"/>
      <c r="J80" s="82"/>
      <c r="K80" s="83"/>
      <c r="L80" s="80"/>
      <c r="M80" s="82"/>
      <c r="N80" s="71"/>
      <c r="O80" s="72"/>
      <c r="P80" s="72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ht="15.0" customHeight="1">
      <c r="A81" s="85"/>
      <c r="B81" s="78"/>
      <c r="C81" s="78"/>
      <c r="D81" s="84"/>
      <c r="E81" s="83"/>
      <c r="F81" s="80"/>
      <c r="G81" s="82"/>
      <c r="H81" s="83"/>
      <c r="I81" s="80"/>
      <c r="J81" s="82"/>
      <c r="K81" s="83"/>
      <c r="L81" s="80"/>
      <c r="M81" s="82"/>
      <c r="N81" s="86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5.0" customHeight="1">
      <c r="A82" s="85"/>
      <c r="B82" s="78"/>
      <c r="C82" s="78"/>
      <c r="D82" s="84"/>
      <c r="E82" s="83"/>
      <c r="F82" s="80"/>
      <c r="G82" s="82"/>
      <c r="H82" s="83"/>
      <c r="I82" s="80"/>
      <c r="J82" s="82"/>
      <c r="K82" s="83"/>
      <c r="L82" s="80"/>
      <c r="M82" s="82"/>
      <c r="N82" s="86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5.0" customHeight="1">
      <c r="A83" s="85"/>
      <c r="B83" s="78"/>
      <c r="C83" s="78"/>
      <c r="D83" s="84"/>
      <c r="E83" s="83"/>
      <c r="F83" s="80"/>
      <c r="G83" s="82"/>
      <c r="H83" s="83"/>
      <c r="I83" s="80"/>
      <c r="J83" s="82"/>
      <c r="K83" s="83"/>
      <c r="L83" s="80"/>
      <c r="M83" s="82"/>
      <c r="N83" s="86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5.0" customHeight="1">
      <c r="A84" s="85"/>
      <c r="B84" s="78"/>
      <c r="C84" s="78"/>
      <c r="D84" s="84"/>
      <c r="E84" s="83"/>
      <c r="F84" s="80"/>
      <c r="G84" s="82"/>
      <c r="H84" s="83"/>
      <c r="I84" s="80"/>
      <c r="J84" s="82"/>
      <c r="K84" s="83"/>
      <c r="L84" s="80"/>
      <c r="M84" s="82"/>
      <c r="N84" s="86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5.0" customHeight="1">
      <c r="A85" s="85"/>
      <c r="B85" s="78"/>
      <c r="C85" s="78"/>
      <c r="D85" s="84"/>
      <c r="E85" s="83"/>
      <c r="F85" s="80"/>
      <c r="G85" s="82"/>
      <c r="H85" s="83"/>
      <c r="I85" s="80"/>
      <c r="J85" s="82"/>
      <c r="K85" s="83"/>
      <c r="L85" s="80"/>
      <c r="M85" s="82"/>
      <c r="N85" s="86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5.0" customHeight="1">
      <c r="A86" s="85"/>
      <c r="B86" s="78"/>
      <c r="C86" s="78"/>
      <c r="D86" s="84"/>
      <c r="E86" s="83"/>
      <c r="F86" s="80"/>
      <c r="G86" s="82"/>
      <c r="H86" s="83"/>
      <c r="I86" s="80"/>
      <c r="J86" s="82"/>
      <c r="K86" s="83"/>
      <c r="L86" s="80"/>
      <c r="M86" s="82"/>
      <c r="N86" s="86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5.0" customHeight="1">
      <c r="A87" s="85"/>
      <c r="B87" s="78"/>
      <c r="C87" s="78"/>
      <c r="D87" s="84"/>
      <c r="E87" s="83"/>
      <c r="F87" s="80"/>
      <c r="G87" s="82"/>
      <c r="H87" s="83"/>
      <c r="I87" s="80"/>
      <c r="J87" s="82"/>
      <c r="K87" s="83"/>
      <c r="L87" s="80"/>
      <c r="M87" s="82"/>
      <c r="N87" s="86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5.0" customHeight="1">
      <c r="A88" s="85"/>
      <c r="B88" s="78"/>
      <c r="C88" s="78"/>
      <c r="D88" s="84"/>
      <c r="E88" s="83"/>
      <c r="F88" s="80"/>
      <c r="G88" s="82"/>
      <c r="H88" s="83"/>
      <c r="I88" s="80"/>
      <c r="J88" s="82"/>
      <c r="K88" s="83"/>
      <c r="L88" s="80"/>
      <c r="M88" s="82"/>
      <c r="N88" s="86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5.0" customHeight="1">
      <c r="A89" s="85"/>
      <c r="B89" s="78"/>
      <c r="C89" s="78"/>
      <c r="D89" s="84"/>
      <c r="E89" s="83"/>
      <c r="F89" s="80"/>
      <c r="G89" s="82"/>
      <c r="H89" s="83"/>
      <c r="I89" s="80"/>
      <c r="J89" s="82"/>
      <c r="K89" s="83"/>
      <c r="L89" s="80"/>
      <c r="M89" s="82"/>
      <c r="N89" s="86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5.0" customHeight="1">
      <c r="A90" s="85"/>
      <c r="B90" s="78"/>
      <c r="C90" s="78"/>
      <c r="D90" s="84"/>
      <c r="E90" s="83"/>
      <c r="F90" s="80"/>
      <c r="G90" s="82"/>
      <c r="H90" s="83"/>
      <c r="I90" s="80"/>
      <c r="J90" s="82"/>
      <c r="K90" s="83"/>
      <c r="L90" s="80"/>
      <c r="M90" s="82"/>
      <c r="N90" s="86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5.0" customHeight="1">
      <c r="A91" s="85"/>
      <c r="B91" s="78"/>
      <c r="C91" s="78"/>
      <c r="D91" s="84"/>
      <c r="E91" s="83"/>
      <c r="F91" s="80"/>
      <c r="G91" s="82"/>
      <c r="H91" s="83"/>
      <c r="I91" s="80"/>
      <c r="J91" s="82"/>
      <c r="K91" s="83"/>
      <c r="L91" s="80"/>
      <c r="M91" s="82"/>
      <c r="N91" s="86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5.0" customHeight="1">
      <c r="A92" s="85"/>
      <c r="B92" s="78"/>
      <c r="C92" s="78"/>
      <c r="D92" s="84"/>
      <c r="E92" s="83"/>
      <c r="F92" s="80"/>
      <c r="G92" s="82"/>
      <c r="H92" s="83"/>
      <c r="I92" s="80"/>
      <c r="J92" s="82"/>
      <c r="K92" s="83"/>
      <c r="L92" s="80"/>
      <c r="M92" s="82"/>
      <c r="N92" s="86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5.0" customHeight="1">
      <c r="A93" s="85"/>
      <c r="B93" s="78"/>
      <c r="C93" s="78"/>
      <c r="D93" s="84"/>
      <c r="E93" s="83"/>
      <c r="F93" s="80"/>
      <c r="G93" s="82"/>
      <c r="H93" s="83"/>
      <c r="I93" s="80"/>
      <c r="J93" s="82"/>
      <c r="K93" s="83"/>
      <c r="L93" s="80"/>
      <c r="M93" s="82"/>
      <c r="N93" s="86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5.0" customHeight="1">
      <c r="A94" s="85"/>
      <c r="B94" s="78"/>
      <c r="C94" s="78"/>
      <c r="D94" s="84"/>
      <c r="E94" s="83"/>
      <c r="F94" s="80"/>
      <c r="G94" s="82"/>
      <c r="H94" s="83"/>
      <c r="I94" s="80"/>
      <c r="J94" s="82"/>
      <c r="K94" s="83"/>
      <c r="L94" s="80"/>
      <c r="M94" s="82"/>
      <c r="N94" s="86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5.0" customHeight="1">
      <c r="A95" s="85"/>
      <c r="B95" s="78"/>
      <c r="C95" s="78"/>
      <c r="D95" s="84"/>
      <c r="E95" s="83"/>
      <c r="F95" s="80"/>
      <c r="G95" s="82"/>
      <c r="H95" s="83"/>
      <c r="I95" s="80"/>
      <c r="J95" s="82"/>
      <c r="K95" s="83"/>
      <c r="L95" s="80"/>
      <c r="M95" s="82"/>
      <c r="N95" s="86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5.0" customHeight="1">
      <c r="A96" s="85"/>
      <c r="B96" s="78"/>
      <c r="C96" s="78"/>
      <c r="D96" s="84"/>
      <c r="E96" s="83"/>
      <c r="F96" s="80"/>
      <c r="G96" s="82"/>
      <c r="H96" s="83"/>
      <c r="I96" s="80"/>
      <c r="J96" s="82"/>
      <c r="K96" s="83"/>
      <c r="L96" s="80"/>
      <c r="M96" s="82"/>
      <c r="N96" s="86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5.0" customHeight="1">
      <c r="A97" s="87"/>
      <c r="B97" s="87"/>
      <c r="C97" s="87"/>
      <c r="D97" s="88"/>
      <c r="E97" s="86"/>
      <c r="F97" s="87"/>
      <c r="G97" s="88"/>
      <c r="H97" s="86"/>
      <c r="I97" s="87"/>
      <c r="J97" s="88"/>
      <c r="K97" s="86"/>
      <c r="L97" s="87"/>
      <c r="M97" s="88"/>
      <c r="N97" s="86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5.0" customHeight="1">
      <c r="A98" s="87"/>
      <c r="B98" s="87"/>
      <c r="C98" s="87"/>
      <c r="D98" s="88"/>
      <c r="E98" s="86"/>
      <c r="F98" s="87"/>
      <c r="G98" s="88"/>
      <c r="H98" s="86"/>
      <c r="I98" s="87"/>
      <c r="J98" s="88"/>
      <c r="K98" s="86"/>
      <c r="L98" s="87"/>
      <c r="M98" s="88"/>
      <c r="N98" s="86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5.0" customHeight="1">
      <c r="A99" s="87"/>
      <c r="B99" s="87"/>
      <c r="C99" s="87"/>
      <c r="D99" s="88"/>
      <c r="E99" s="86"/>
      <c r="F99" s="87"/>
      <c r="G99" s="88"/>
      <c r="H99" s="86"/>
      <c r="I99" s="87"/>
      <c r="J99" s="88"/>
      <c r="K99" s="86"/>
      <c r="L99" s="87"/>
      <c r="M99" s="88"/>
      <c r="N99" s="86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5.0" customHeight="1">
      <c r="A100" s="87"/>
      <c r="B100" s="87"/>
      <c r="C100" s="87"/>
      <c r="D100" s="88"/>
      <c r="E100" s="86"/>
      <c r="F100" s="87"/>
      <c r="G100" s="88"/>
      <c r="H100" s="86"/>
      <c r="I100" s="87"/>
      <c r="J100" s="88"/>
      <c r="K100" s="86"/>
      <c r="L100" s="87"/>
      <c r="M100" s="88"/>
      <c r="N100" s="86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5.0" customHeight="1">
      <c r="A101" s="87"/>
      <c r="B101" s="87"/>
      <c r="C101" s="87"/>
      <c r="D101" s="88"/>
      <c r="E101" s="86"/>
      <c r="F101" s="87"/>
      <c r="G101" s="88"/>
      <c r="H101" s="86"/>
      <c r="I101" s="87"/>
      <c r="J101" s="88"/>
      <c r="K101" s="86"/>
      <c r="L101" s="87"/>
      <c r="M101" s="88"/>
      <c r="N101" s="86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5.0" customHeight="1">
      <c r="A102" s="87"/>
      <c r="B102" s="87"/>
      <c r="C102" s="87"/>
      <c r="D102" s="88"/>
      <c r="E102" s="86"/>
      <c r="F102" s="87"/>
      <c r="G102" s="88"/>
      <c r="H102" s="86"/>
      <c r="I102" s="87"/>
      <c r="J102" s="88"/>
      <c r="K102" s="86"/>
      <c r="L102" s="87"/>
      <c r="M102" s="88"/>
      <c r="N102" s="86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5.0" customHeight="1">
      <c r="A103" s="87"/>
      <c r="B103" s="87"/>
      <c r="C103" s="87"/>
      <c r="D103" s="88"/>
      <c r="E103" s="86"/>
      <c r="F103" s="87"/>
      <c r="G103" s="88"/>
      <c r="H103" s="86"/>
      <c r="I103" s="87"/>
      <c r="J103" s="88"/>
      <c r="K103" s="86"/>
      <c r="L103" s="87"/>
      <c r="M103" s="88"/>
      <c r="N103" s="86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5.0" customHeight="1">
      <c r="A104" s="87"/>
      <c r="B104" s="87"/>
      <c r="C104" s="87"/>
      <c r="D104" s="88"/>
      <c r="E104" s="86"/>
      <c r="F104" s="87"/>
      <c r="G104" s="88"/>
      <c r="H104" s="86"/>
      <c r="I104" s="87"/>
      <c r="J104" s="88"/>
      <c r="K104" s="86"/>
      <c r="L104" s="87"/>
      <c r="M104" s="88"/>
      <c r="N104" s="86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5.0" customHeight="1">
      <c r="A105" s="87"/>
      <c r="B105" s="87"/>
      <c r="C105" s="87"/>
      <c r="D105" s="88"/>
      <c r="E105" s="86"/>
      <c r="F105" s="87"/>
      <c r="G105" s="88"/>
      <c r="H105" s="86"/>
      <c r="I105" s="87"/>
      <c r="J105" s="88"/>
      <c r="K105" s="86"/>
      <c r="L105" s="87"/>
      <c r="M105" s="88"/>
      <c r="N105" s="86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5.0" customHeight="1">
      <c r="A106" s="87"/>
      <c r="B106" s="87"/>
      <c r="C106" s="87"/>
      <c r="D106" s="88"/>
      <c r="E106" s="86"/>
      <c r="F106" s="87"/>
      <c r="G106" s="88"/>
      <c r="H106" s="86"/>
      <c r="I106" s="87"/>
      <c r="J106" s="88"/>
      <c r="K106" s="86"/>
      <c r="L106" s="87"/>
      <c r="M106" s="88"/>
      <c r="N106" s="86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5.0" customHeight="1">
      <c r="A107" s="87"/>
      <c r="B107" s="87"/>
      <c r="C107" s="87"/>
      <c r="D107" s="88"/>
      <c r="E107" s="86"/>
      <c r="F107" s="87"/>
      <c r="G107" s="88"/>
      <c r="H107" s="86"/>
      <c r="I107" s="87"/>
      <c r="J107" s="88"/>
      <c r="K107" s="86"/>
      <c r="L107" s="87"/>
      <c r="M107" s="88"/>
      <c r="N107" s="86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5.0" customHeight="1">
      <c r="A108" s="87"/>
      <c r="B108" s="87"/>
      <c r="C108" s="87"/>
      <c r="D108" s="88"/>
      <c r="E108" s="86"/>
      <c r="F108" s="87"/>
      <c r="G108" s="88"/>
      <c r="H108" s="86"/>
      <c r="I108" s="87"/>
      <c r="J108" s="88"/>
      <c r="K108" s="86"/>
      <c r="L108" s="87"/>
      <c r="M108" s="88"/>
      <c r="N108" s="86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5.0" customHeight="1">
      <c r="A109" s="87"/>
      <c r="B109" s="87"/>
      <c r="C109" s="87"/>
      <c r="D109" s="88"/>
      <c r="E109" s="86"/>
      <c r="F109" s="87"/>
      <c r="G109" s="88"/>
      <c r="H109" s="86"/>
      <c r="I109" s="87"/>
      <c r="J109" s="88"/>
      <c r="K109" s="86"/>
      <c r="L109" s="87"/>
      <c r="M109" s="88"/>
      <c r="N109" s="86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5.0" customHeight="1">
      <c r="A110" s="87"/>
      <c r="B110" s="87"/>
      <c r="C110" s="87"/>
      <c r="D110" s="88"/>
      <c r="E110" s="86"/>
      <c r="F110" s="87"/>
      <c r="G110" s="88"/>
      <c r="H110" s="86"/>
      <c r="I110" s="87"/>
      <c r="J110" s="88"/>
      <c r="K110" s="86"/>
      <c r="L110" s="87"/>
      <c r="M110" s="88"/>
      <c r="N110" s="86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5.0" customHeight="1">
      <c r="A111" s="87"/>
      <c r="B111" s="87"/>
      <c r="C111" s="87"/>
      <c r="D111" s="88"/>
      <c r="E111" s="86"/>
      <c r="F111" s="87"/>
      <c r="G111" s="88"/>
      <c r="H111" s="86"/>
      <c r="I111" s="87"/>
      <c r="J111" s="88"/>
      <c r="K111" s="86"/>
      <c r="L111" s="87"/>
      <c r="M111" s="88"/>
      <c r="N111" s="86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5.0" customHeight="1">
      <c r="A112" s="87"/>
      <c r="B112" s="87"/>
      <c r="C112" s="87"/>
      <c r="D112" s="88"/>
      <c r="E112" s="86"/>
      <c r="F112" s="87"/>
      <c r="G112" s="88"/>
      <c r="H112" s="86"/>
      <c r="I112" s="87"/>
      <c r="J112" s="88"/>
      <c r="K112" s="86"/>
      <c r="L112" s="87"/>
      <c r="M112" s="88"/>
      <c r="N112" s="86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5.0" customHeight="1">
      <c r="A113" s="87"/>
      <c r="B113" s="87"/>
      <c r="C113" s="87"/>
      <c r="D113" s="88"/>
      <c r="E113" s="86"/>
      <c r="F113" s="87"/>
      <c r="G113" s="88"/>
      <c r="H113" s="86"/>
      <c r="I113" s="87"/>
      <c r="J113" s="88"/>
      <c r="K113" s="86"/>
      <c r="L113" s="87"/>
      <c r="M113" s="88"/>
      <c r="N113" s="86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5.0" customHeight="1">
      <c r="A114" s="87"/>
      <c r="B114" s="87"/>
      <c r="C114" s="87"/>
      <c r="D114" s="88"/>
      <c r="E114" s="86"/>
      <c r="F114" s="87"/>
      <c r="G114" s="88"/>
      <c r="H114" s="86"/>
      <c r="I114" s="87"/>
      <c r="J114" s="88"/>
      <c r="K114" s="86"/>
      <c r="L114" s="87"/>
      <c r="M114" s="88"/>
      <c r="N114" s="86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5.0" customHeight="1">
      <c r="A115" s="87"/>
      <c r="B115" s="87"/>
      <c r="C115" s="87"/>
      <c r="D115" s="88"/>
      <c r="E115" s="86"/>
      <c r="F115" s="87"/>
      <c r="G115" s="88"/>
      <c r="H115" s="86"/>
      <c r="I115" s="87"/>
      <c r="J115" s="88"/>
      <c r="K115" s="86"/>
      <c r="L115" s="87"/>
      <c r="M115" s="88"/>
      <c r="N115" s="86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5.0" customHeight="1">
      <c r="A116" s="87"/>
      <c r="B116" s="87"/>
      <c r="C116" s="87"/>
      <c r="D116" s="88"/>
      <c r="E116" s="86"/>
      <c r="F116" s="87"/>
      <c r="G116" s="88"/>
      <c r="H116" s="86"/>
      <c r="I116" s="87"/>
      <c r="J116" s="88"/>
      <c r="K116" s="86"/>
      <c r="L116" s="87"/>
      <c r="M116" s="88"/>
      <c r="N116" s="86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5.0" customHeight="1">
      <c r="A117" s="87"/>
      <c r="B117" s="87"/>
      <c r="C117" s="87"/>
      <c r="D117" s="88"/>
      <c r="E117" s="86"/>
      <c r="F117" s="87"/>
      <c r="G117" s="88"/>
      <c r="H117" s="86"/>
      <c r="I117" s="87"/>
      <c r="J117" s="88"/>
      <c r="K117" s="86"/>
      <c r="L117" s="87"/>
      <c r="M117" s="88"/>
      <c r="N117" s="86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5.0" customHeight="1">
      <c r="A118" s="87"/>
      <c r="B118" s="87"/>
      <c r="C118" s="87"/>
      <c r="D118" s="88"/>
      <c r="E118" s="86"/>
      <c r="F118" s="87"/>
      <c r="G118" s="88"/>
      <c r="H118" s="86"/>
      <c r="I118" s="87"/>
      <c r="J118" s="88"/>
      <c r="K118" s="86"/>
      <c r="L118" s="87"/>
      <c r="M118" s="88"/>
      <c r="N118" s="86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5.0" customHeight="1">
      <c r="A119" s="87"/>
      <c r="B119" s="87"/>
      <c r="C119" s="87"/>
      <c r="D119" s="88"/>
      <c r="E119" s="86"/>
      <c r="F119" s="87"/>
      <c r="G119" s="88"/>
      <c r="H119" s="86"/>
      <c r="I119" s="87"/>
      <c r="J119" s="88"/>
      <c r="K119" s="86"/>
      <c r="L119" s="87"/>
      <c r="M119" s="88"/>
      <c r="N119" s="86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5.0" customHeight="1">
      <c r="A120" s="87"/>
      <c r="B120" s="87"/>
      <c r="C120" s="87"/>
      <c r="D120" s="88"/>
      <c r="E120" s="86"/>
      <c r="F120" s="87"/>
      <c r="G120" s="88"/>
      <c r="H120" s="86"/>
      <c r="I120" s="87"/>
      <c r="J120" s="88"/>
      <c r="K120" s="86"/>
      <c r="L120" s="87"/>
      <c r="M120" s="88"/>
      <c r="N120" s="86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5.0" customHeight="1">
      <c r="A121" s="87"/>
      <c r="B121" s="87"/>
      <c r="C121" s="87"/>
      <c r="D121" s="88"/>
      <c r="E121" s="86"/>
      <c r="F121" s="87"/>
      <c r="G121" s="88"/>
      <c r="H121" s="86"/>
      <c r="I121" s="87"/>
      <c r="J121" s="88"/>
      <c r="K121" s="86"/>
      <c r="L121" s="87"/>
      <c r="M121" s="88"/>
      <c r="N121" s="86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6.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6.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6.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6.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6.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6.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6.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6.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6.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6.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6.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6.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6.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6.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6.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6.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6.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6.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6.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6.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6.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6.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6.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6.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6.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6.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6.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6.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6.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6.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6.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6.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6.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6.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6.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6.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6.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6.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6.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6.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6.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6.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6.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6.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6.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6.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6.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6.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6.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6.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6.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6.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6.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6.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6.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6.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6.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6.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6.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6.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6.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6.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6.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6.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6.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6.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6.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6.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6.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6.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6.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6.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6.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6.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6.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6.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6.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6.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6.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6.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6.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6.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6.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6.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6.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6.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6.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6.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6.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6.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6.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6.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6.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6.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6.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6.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6.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6.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6.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6.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6.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6.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6.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6.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6.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6.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6.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6.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6.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6.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6.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6.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6.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6.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6.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6.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6.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6.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6.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6.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6.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6.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6.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6.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6.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6.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6.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6.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6.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6.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6.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6.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6.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6.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6.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6.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6.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6.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6.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6.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6.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6.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6.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6.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6.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6.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6.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6.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6.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6.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6.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6.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6.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6.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6.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6.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6.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6.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6.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6.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6.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6.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6.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6.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6.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6.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6.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6.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6.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6.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6.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6.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6.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6.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6.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6.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6.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6.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6.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6.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6.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6.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16.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16.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16.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16.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16.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16.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16.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16.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16.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16.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16.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16.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16.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16.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16.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16.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16.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16.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16.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16.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16.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16.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16.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16.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16.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16.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16.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16.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16.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16.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16.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16.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16.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16.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16.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16.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16.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16.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16.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16.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16.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16.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16.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16.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16.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16.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16.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16.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16.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16.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16.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16.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16.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16.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16.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16.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16.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16.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16.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16.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16.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16.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16.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16.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16.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16.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16.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16.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16.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16.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16.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16.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16.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16.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16.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16.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16.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16.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16.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16.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16.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16.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16.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16.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16.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16.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16.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16.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16.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16.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16.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16.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16.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16.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16.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16.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16.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16.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16.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16.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16.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16.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16.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16.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16.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16.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16.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16.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16.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16.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16.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16.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16.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16.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16.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16.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16.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16.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16.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16.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16.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16.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16.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16.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16.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16.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16.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16.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16.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16.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16.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16.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16.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16.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16.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16.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16.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16.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16.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16.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16.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16.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16.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16.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16.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16.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16.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16.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16.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16.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16.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16.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16.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16.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16.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16.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16.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16.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16.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16.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16.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16.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16.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16.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16.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16.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16.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16.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16.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16.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16.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16.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16.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16.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16.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16.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16.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16.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16.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16.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ht="16.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ht="16.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ht="16.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ht="16.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ht="16.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ht="16.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ht="16.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ht="16.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ht="16.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ht="16.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ht="16.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ht="16.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ht="16.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ht="16.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ht="16.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ht="16.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ht="16.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ht="16.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ht="16.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ht="16.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ht="16.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ht="16.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ht="16.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ht="16.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ht="16.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ht="16.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ht="16.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ht="16.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ht="16.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ht="16.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ht="16.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ht="16.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ht="16.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ht="16.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ht="16.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ht="16.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ht="16.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ht="16.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ht="16.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ht="16.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ht="16.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ht="16.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ht="16.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ht="16.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ht="16.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6.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ht="16.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ht="16.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ht="16.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ht="16.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ht="16.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ht="16.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ht="16.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ht="16.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ht="16.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ht="16.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ht="16.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ht="16.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ht="16.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ht="16.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ht="16.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ht="16.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ht="16.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ht="16.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ht="16.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ht="16.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ht="16.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ht="16.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ht="16.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ht="16.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ht="16.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ht="16.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ht="16.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ht="16.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ht="16.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ht="16.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ht="16.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ht="16.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ht="16.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ht="16.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ht="16.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ht="16.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ht="16.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ht="16.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ht="16.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ht="16.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ht="16.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ht="16.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ht="16.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ht="16.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ht="16.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ht="16.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ht="16.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ht="16.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ht="16.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ht="16.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ht="16.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ht="16.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ht="16.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ht="16.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ht="16.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ht="16.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ht="16.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ht="16.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ht="16.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ht="16.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ht="16.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ht="16.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ht="16.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ht="16.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ht="16.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ht="16.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ht="16.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ht="16.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ht="16.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ht="16.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ht="16.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ht="16.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ht="16.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ht="16.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ht="16.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ht="16.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ht="16.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ht="16.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ht="16.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ht="16.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ht="16.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ht="16.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ht="16.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ht="16.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ht="16.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ht="16.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ht="16.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ht="16.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ht="16.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ht="16.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ht="16.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ht="16.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ht="16.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ht="16.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ht="16.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ht="16.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ht="16.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ht="16.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ht="16.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ht="16.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ht="16.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ht="16.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ht="16.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ht="16.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ht="16.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ht="16.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ht="16.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ht="16.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ht="16.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ht="16.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ht="16.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ht="16.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ht="16.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ht="16.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ht="16.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ht="16.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ht="16.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ht="16.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ht="16.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ht="16.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ht="16.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ht="16.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ht="16.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ht="16.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ht="16.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ht="16.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ht="16.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ht="16.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ht="16.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ht="16.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ht="16.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ht="16.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ht="16.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ht="16.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ht="16.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ht="16.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ht="16.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ht="16.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ht="16.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ht="16.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ht="16.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ht="16.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ht="16.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ht="16.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ht="16.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ht="16.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ht="16.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ht="16.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ht="16.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ht="16.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ht="16.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ht="16.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ht="16.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ht="16.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ht="16.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ht="16.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ht="16.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ht="16.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ht="16.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ht="16.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ht="16.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ht="16.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ht="16.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ht="16.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ht="16.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ht="16.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ht="16.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ht="16.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ht="16.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ht="16.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ht="16.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ht="16.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ht="16.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ht="16.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ht="16.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ht="16.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ht="16.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ht="16.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ht="16.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ht="16.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ht="16.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ht="16.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ht="16.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ht="16.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ht="16.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ht="16.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ht="16.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ht="16.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ht="16.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ht="16.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ht="16.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ht="16.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ht="16.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ht="16.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ht="16.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ht="16.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ht="16.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ht="16.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ht="16.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ht="16.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ht="16.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ht="16.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ht="16.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ht="16.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ht="16.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ht="16.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ht="16.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ht="16.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ht="16.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ht="16.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ht="16.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ht="16.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ht="16.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ht="16.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ht="16.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ht="16.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ht="16.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ht="16.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ht="16.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ht="16.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ht="16.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ht="16.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ht="16.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ht="16.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ht="16.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ht="16.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ht="16.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ht="16.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ht="16.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ht="16.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ht="16.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ht="16.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ht="16.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ht="16.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ht="16.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ht="16.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ht="16.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ht="16.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ht="16.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ht="16.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ht="16.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ht="16.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ht="16.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ht="16.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ht="16.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ht="16.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ht="16.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ht="16.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ht="16.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ht="16.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ht="16.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ht="16.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ht="16.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ht="16.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ht="16.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ht="16.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ht="16.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ht="16.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ht="16.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ht="16.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ht="16.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ht="16.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ht="16.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ht="16.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ht="16.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ht="16.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ht="16.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ht="16.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ht="16.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ht="16.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ht="16.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ht="16.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ht="16.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ht="16.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ht="16.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ht="16.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ht="16.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ht="16.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ht="16.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ht="16.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ht="16.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ht="16.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ht="16.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ht="16.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ht="16.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ht="16.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ht="16.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ht="16.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ht="16.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ht="16.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ht="16.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ht="16.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ht="16.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ht="16.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ht="16.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ht="16.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ht="16.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ht="16.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ht="16.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ht="16.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ht="16.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ht="16.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ht="16.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ht="16.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ht="16.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ht="16.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ht="16.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ht="16.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ht="16.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ht="16.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ht="16.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ht="16.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ht="16.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ht="16.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ht="16.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ht="16.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ht="16.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ht="16.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ht="16.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ht="16.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ht="16.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ht="16.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ht="16.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ht="16.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ht="16.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ht="16.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ht="16.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ht="16.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ht="16.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ht="16.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ht="16.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ht="16.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ht="16.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ht="16.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ht="16.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ht="16.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ht="16.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ht="16.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ht="16.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ht="16.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ht="16.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ht="16.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ht="16.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ht="16.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ht="16.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ht="16.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ht="16.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ht="16.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ht="16.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ht="16.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ht="16.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ht="16.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ht="16.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ht="16.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ht="16.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ht="16.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ht="16.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ht="16.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ht="16.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ht="16.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ht="16.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ht="16.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ht="16.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ht="16.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ht="16.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ht="16.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ht="16.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ht="16.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ht="16.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ht="16.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ht="16.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ht="16.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ht="16.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ht="16.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ht="16.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ht="16.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ht="16.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ht="16.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ht="16.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ht="16.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ht="16.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ht="16.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ht="16.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ht="16.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ht="16.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ht="16.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ht="16.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ht="16.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ht="16.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ht="16.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ht="16.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ht="16.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ht="16.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ht="16.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ht="16.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ht="16.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ht="16.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ht="16.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ht="16.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ht="16.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ht="16.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ht="16.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ht="16.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ht="16.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ht="16.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ht="16.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ht="16.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ht="16.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ht="16.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ht="16.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ht="16.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ht="16.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ht="16.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ht="16.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ht="16.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ht="16.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ht="16.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ht="16.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ht="16.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ht="16.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ht="16.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ht="16.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ht="16.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ht="16.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ht="16.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ht="16.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ht="16.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ht="16.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ht="16.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ht="16.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ht="16.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ht="16.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ht="16.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ht="16.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ht="16.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ht="16.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ht="16.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ht="16.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ht="16.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ht="16.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ht="16.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ht="16.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ht="16.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ht="16.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ht="16.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ht="16.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ht="16.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ht="16.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ht="16.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ht="16.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ht="16.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ht="16.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ht="16.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ht="16.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ht="16.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ht="16.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ht="16.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ht="16.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ht="16.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ht="16.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ht="16.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ht="16.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ht="16.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ht="16.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ht="16.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ht="16.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ht="16.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ht="16.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ht="16.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ht="16.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ht="16.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mergeCells count="7">
    <mergeCell ref="A1:N1"/>
    <mergeCell ref="A17:A19"/>
    <mergeCell ref="B17:D17"/>
    <mergeCell ref="E17:G17"/>
    <mergeCell ref="H17:J17"/>
    <mergeCell ref="K17:M17"/>
    <mergeCell ref="N17:N19"/>
  </mergeCells>
  <printOptions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13" width="5.29"/>
    <col customWidth="1" min="14" max="14" width="3.71"/>
    <col customWidth="1" min="15" max="16" width="0.86"/>
    <col customWidth="1" min="17" max="26" width="8.86"/>
  </cols>
  <sheetData>
    <row r="1" ht="19.5" customHeight="1">
      <c r="A1" s="15" t="s">
        <v>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  <c r="O1" s="18"/>
      <c r="P1" s="18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4.5" customHeight="1">
      <c r="A2" s="20"/>
      <c r="B2" s="21"/>
      <c r="C2" s="22"/>
      <c r="D2" s="22"/>
      <c r="E2" s="22"/>
      <c r="F2" s="23"/>
      <c r="G2" s="22"/>
      <c r="H2" s="21"/>
      <c r="I2" s="22"/>
      <c r="J2" s="22"/>
      <c r="K2" s="22"/>
      <c r="L2" s="23"/>
      <c r="M2" s="22"/>
      <c r="N2" s="24"/>
      <c r="O2" s="22"/>
      <c r="P2" s="22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5.0" customHeight="1">
      <c r="A3" s="25" t="str">
        <f>'S1-1,3 STRUT (3) 배면 좌'!A3</f>
        <v>현  장  명 : 용산구 한남동 383일대 근린생활시설 신축공사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7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15.0" customHeight="1">
      <c r="A4" s="25" t="s">
        <v>19</v>
      </c>
      <c r="B4" s="26"/>
      <c r="C4" s="26"/>
      <c r="D4" s="26"/>
      <c r="E4" s="26"/>
      <c r="F4" s="29"/>
      <c r="G4" s="26"/>
      <c r="H4" s="26"/>
      <c r="I4" s="26"/>
      <c r="J4" s="26"/>
      <c r="K4" s="26"/>
      <c r="L4" s="29"/>
      <c r="M4" s="26"/>
      <c r="N4" s="30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16.5" customHeight="1">
      <c r="A5" s="31"/>
      <c r="B5" s="32"/>
      <c r="C5" s="32"/>
      <c r="D5" s="32"/>
      <c r="E5" s="32"/>
      <c r="F5" s="33"/>
      <c r="G5" s="32"/>
      <c r="H5" s="32"/>
      <c r="I5" s="32"/>
      <c r="J5" s="32"/>
      <c r="K5" s="32"/>
      <c r="L5" s="33"/>
      <c r="M5" s="32"/>
      <c r="N5" s="34"/>
      <c r="O5" s="19"/>
      <c r="P5" s="19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6.5" customHeight="1">
      <c r="A6" s="35"/>
      <c r="B6" s="36"/>
      <c r="C6" s="36"/>
      <c r="D6" s="36"/>
      <c r="E6" s="36"/>
      <c r="F6" s="19"/>
      <c r="G6" s="36"/>
      <c r="H6" s="36"/>
      <c r="I6" s="36"/>
      <c r="J6" s="36"/>
      <c r="K6" s="36"/>
      <c r="L6" s="19"/>
      <c r="M6" s="36"/>
      <c r="N6" s="37"/>
      <c r="O6" s="19"/>
      <c r="P6" s="19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6.5" customHeight="1">
      <c r="A7" s="35"/>
      <c r="B7" s="36"/>
      <c r="C7" s="36"/>
      <c r="D7" s="36"/>
      <c r="E7" s="36"/>
      <c r="F7" s="19"/>
      <c r="G7" s="36"/>
      <c r="H7" s="36"/>
      <c r="I7" s="36"/>
      <c r="J7" s="36"/>
      <c r="K7" s="36"/>
      <c r="L7" s="19"/>
      <c r="M7" s="36"/>
      <c r="N7" s="37"/>
      <c r="O7" s="19"/>
      <c r="P7" s="19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16.5" customHeight="1">
      <c r="A8" s="35"/>
      <c r="B8" s="36"/>
      <c r="C8" s="36"/>
      <c r="D8" s="36"/>
      <c r="E8" s="36"/>
      <c r="F8" s="19"/>
      <c r="G8" s="36"/>
      <c r="H8" s="36"/>
      <c r="I8" s="36"/>
      <c r="J8" s="36"/>
      <c r="K8" s="36"/>
      <c r="L8" s="19"/>
      <c r="M8" s="36"/>
      <c r="N8" s="37"/>
      <c r="O8" s="19"/>
      <c r="P8" s="19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6.5" customHeight="1">
      <c r="A9" s="35"/>
      <c r="B9" s="36"/>
      <c r="C9" s="36"/>
      <c r="D9" s="36"/>
      <c r="E9" s="36"/>
      <c r="F9" s="19"/>
      <c r="G9" s="36"/>
      <c r="H9" s="36"/>
      <c r="I9" s="36"/>
      <c r="J9" s="36"/>
      <c r="K9" s="36"/>
      <c r="L9" s="19"/>
      <c r="M9" s="36"/>
      <c r="N9" s="37"/>
      <c r="O9" s="19"/>
      <c r="P9" s="19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6.5" customHeight="1">
      <c r="A10" s="35"/>
      <c r="B10" s="36"/>
      <c r="C10" s="36"/>
      <c r="D10" s="36"/>
      <c r="E10" s="36"/>
      <c r="F10" s="19"/>
      <c r="G10" s="36"/>
      <c r="H10" s="36"/>
      <c r="I10" s="36"/>
      <c r="J10" s="36"/>
      <c r="K10" s="36"/>
      <c r="L10" s="19"/>
      <c r="M10" s="36"/>
      <c r="N10" s="37"/>
      <c r="O10" s="19"/>
      <c r="P10" s="19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6.5" customHeight="1">
      <c r="A11" s="35"/>
      <c r="B11" s="36"/>
      <c r="C11" s="36"/>
      <c r="D11" s="36"/>
      <c r="E11" s="36"/>
      <c r="F11" s="19"/>
      <c r="G11" s="36"/>
      <c r="H11" s="36"/>
      <c r="I11" s="36"/>
      <c r="J11" s="36"/>
      <c r="K11" s="36"/>
      <c r="L11" s="19"/>
      <c r="M11" s="36"/>
      <c r="N11" s="37"/>
      <c r="O11" s="19"/>
      <c r="P11" s="19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6.5" customHeight="1">
      <c r="A12" s="35"/>
      <c r="B12" s="36"/>
      <c r="C12" s="36"/>
      <c r="D12" s="36"/>
      <c r="E12" s="36"/>
      <c r="F12" s="19"/>
      <c r="G12" s="36"/>
      <c r="H12" s="36"/>
      <c r="I12" s="36"/>
      <c r="J12" s="36"/>
      <c r="K12" s="36"/>
      <c r="L12" s="19"/>
      <c r="M12" s="36"/>
      <c r="N12" s="37"/>
      <c r="O12" s="19"/>
      <c r="P12" s="19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6.5" customHeight="1">
      <c r="A13" s="35"/>
      <c r="B13" s="36"/>
      <c r="C13" s="36"/>
      <c r="D13" s="36"/>
      <c r="E13" s="36"/>
      <c r="F13" s="19"/>
      <c r="G13" s="36"/>
      <c r="H13" s="36"/>
      <c r="I13" s="36"/>
      <c r="J13" s="36"/>
      <c r="K13" s="36"/>
      <c r="L13" s="19"/>
      <c r="M13" s="36"/>
      <c r="N13" s="37"/>
      <c r="O13" s="19"/>
      <c r="P13" s="19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6.5" customHeight="1">
      <c r="A14" s="35"/>
      <c r="B14" s="36"/>
      <c r="C14" s="36"/>
      <c r="D14" s="36"/>
      <c r="E14" s="36"/>
      <c r="F14" s="19"/>
      <c r="G14" s="36"/>
      <c r="H14" s="36"/>
      <c r="I14" s="36"/>
      <c r="J14" s="36"/>
      <c r="K14" s="36"/>
      <c r="L14" s="19"/>
      <c r="M14" s="36"/>
      <c r="N14" s="37"/>
      <c r="O14" s="19"/>
      <c r="P14" s="19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6.5" customHeight="1">
      <c r="A15" s="35"/>
      <c r="B15" s="36"/>
      <c r="C15" s="36"/>
      <c r="D15" s="36"/>
      <c r="E15" s="36"/>
      <c r="F15" s="19"/>
      <c r="G15" s="36"/>
      <c r="H15" s="36"/>
      <c r="I15" s="36"/>
      <c r="J15" s="36"/>
      <c r="K15" s="36"/>
      <c r="L15" s="19"/>
      <c r="M15" s="36"/>
      <c r="N15" s="37"/>
      <c r="O15" s="19"/>
      <c r="P15" s="19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6.5" customHeight="1">
      <c r="A16" s="38"/>
      <c r="B16" s="39"/>
      <c r="C16" s="39"/>
      <c r="D16" s="39"/>
      <c r="E16" s="39"/>
      <c r="F16" s="40"/>
      <c r="G16" s="39"/>
      <c r="H16" s="39"/>
      <c r="I16" s="39"/>
      <c r="J16" s="39"/>
      <c r="K16" s="39"/>
      <c r="L16" s="40"/>
      <c r="M16" s="39"/>
      <c r="N16" s="41"/>
      <c r="O16" s="19"/>
      <c r="P16" s="19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5.0" customHeight="1">
      <c r="A17" s="42" t="s">
        <v>7</v>
      </c>
      <c r="B17" s="43" t="s">
        <v>20</v>
      </c>
      <c r="C17" s="44"/>
      <c r="D17" s="45"/>
      <c r="E17" s="46" t="s">
        <v>9</v>
      </c>
      <c r="F17" s="44"/>
      <c r="G17" s="45"/>
      <c r="H17" s="46" t="s">
        <v>10</v>
      </c>
      <c r="I17" s="44"/>
      <c r="J17" s="45"/>
      <c r="K17" s="46" t="s">
        <v>11</v>
      </c>
      <c r="L17" s="44"/>
      <c r="M17" s="45"/>
      <c r="N17" s="47" t="s">
        <v>12</v>
      </c>
      <c r="O17" s="48"/>
      <c r="P17" s="4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5.0" customHeight="1">
      <c r="A18" s="49"/>
      <c r="B18" s="50" t="s">
        <v>13</v>
      </c>
      <c r="C18" s="50" t="s">
        <v>14</v>
      </c>
      <c r="D18" s="52" t="s">
        <v>15</v>
      </c>
      <c r="E18" s="50" t="s">
        <v>13</v>
      </c>
      <c r="F18" s="50" t="s">
        <v>14</v>
      </c>
      <c r="G18" s="52" t="s">
        <v>15</v>
      </c>
      <c r="H18" s="50" t="s">
        <v>13</v>
      </c>
      <c r="I18" s="50" t="s">
        <v>14</v>
      </c>
      <c r="J18" s="52" t="s">
        <v>15</v>
      </c>
      <c r="K18" s="50" t="s">
        <v>13</v>
      </c>
      <c r="L18" s="50" t="s">
        <v>14</v>
      </c>
      <c r="M18" s="52" t="s">
        <v>15</v>
      </c>
      <c r="N18" s="53"/>
      <c r="O18" s="48"/>
      <c r="P18" s="4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5.0" customHeight="1">
      <c r="A19" s="54"/>
      <c r="B19" s="55" t="s">
        <v>21</v>
      </c>
      <c r="C19" s="55" t="s">
        <v>22</v>
      </c>
      <c r="D19" s="58" t="s">
        <v>23</v>
      </c>
      <c r="E19" s="55" t="s">
        <v>21</v>
      </c>
      <c r="F19" s="55" t="s">
        <v>22</v>
      </c>
      <c r="G19" s="58" t="s">
        <v>23</v>
      </c>
      <c r="H19" s="55" t="s">
        <v>21</v>
      </c>
      <c r="I19" s="55" t="s">
        <v>22</v>
      </c>
      <c r="J19" s="58" t="s">
        <v>23</v>
      </c>
      <c r="K19" s="55" t="s">
        <v>21</v>
      </c>
      <c r="L19" s="55" t="s">
        <v>22</v>
      </c>
      <c r="M19" s="58" t="s">
        <v>23</v>
      </c>
      <c r="N19" s="59"/>
      <c r="O19" s="60"/>
      <c r="P19" s="60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5.0" customHeight="1">
      <c r="A20" s="61">
        <v>45926.0</v>
      </c>
      <c r="B20" s="62">
        <v>2859.0</v>
      </c>
      <c r="C20" s="62"/>
      <c r="D20" s="63"/>
      <c r="E20" s="64">
        <f t="shared" ref="E20:E28" si="1">(B20-$B$20)*2.1</f>
        <v>0</v>
      </c>
      <c r="F20" s="74"/>
      <c r="G20" s="66"/>
      <c r="H20" s="64">
        <f t="shared" ref="H20:H28" si="2">E20*0.0980665</f>
        <v>0</v>
      </c>
      <c r="I20" s="74"/>
      <c r="J20" s="67"/>
      <c r="K20" s="64">
        <f t="shared" ref="K20:K28" si="3">(E20*119.8)/1000</f>
        <v>0</v>
      </c>
      <c r="L20" s="65"/>
      <c r="M20" s="67"/>
      <c r="N20" s="68"/>
      <c r="O20" s="69"/>
      <c r="P20" s="69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 ht="15.0" customHeight="1">
      <c r="A21" s="61">
        <v>45930.0</v>
      </c>
      <c r="B21" s="62">
        <v>2857.0</v>
      </c>
      <c r="C21" s="62"/>
      <c r="D21" s="63"/>
      <c r="E21" s="64">
        <f t="shared" si="1"/>
        <v>-4.2</v>
      </c>
      <c r="F21" s="74"/>
      <c r="G21" s="66"/>
      <c r="H21" s="64">
        <f t="shared" si="2"/>
        <v>-0.4118793</v>
      </c>
      <c r="I21" s="74"/>
      <c r="J21" s="67"/>
      <c r="K21" s="64">
        <f t="shared" si="3"/>
        <v>-0.50316</v>
      </c>
      <c r="L21" s="65"/>
      <c r="M21" s="67"/>
      <c r="N21" s="68"/>
      <c r="O21" s="69"/>
      <c r="P21" s="69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 ht="15.0" customHeight="1">
      <c r="A22" s="61">
        <v>45932.0</v>
      </c>
      <c r="B22" s="62">
        <v>2850.0</v>
      </c>
      <c r="C22" s="62"/>
      <c r="D22" s="63"/>
      <c r="E22" s="64">
        <f t="shared" si="1"/>
        <v>-18.9</v>
      </c>
      <c r="F22" s="74"/>
      <c r="G22" s="66"/>
      <c r="H22" s="64">
        <f t="shared" si="2"/>
        <v>-1.85345685</v>
      </c>
      <c r="I22" s="74"/>
      <c r="J22" s="67"/>
      <c r="K22" s="64">
        <f t="shared" si="3"/>
        <v>-2.26422</v>
      </c>
      <c r="L22" s="65"/>
      <c r="M22" s="67"/>
      <c r="N22" s="68"/>
      <c r="O22" s="69"/>
      <c r="P22" s="69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 ht="15.0" customHeight="1">
      <c r="A23" s="61">
        <v>45944.0</v>
      </c>
      <c r="B23" s="62">
        <v>2853.0</v>
      </c>
      <c r="C23" s="62">
        <v>2979.0</v>
      </c>
      <c r="D23" s="63"/>
      <c r="E23" s="64">
        <f t="shared" si="1"/>
        <v>-12.6</v>
      </c>
      <c r="F23" s="74">
        <f t="shared" ref="F23:F28" si="4">(C23-$C$23)*2.1</f>
        <v>0</v>
      </c>
      <c r="G23" s="66"/>
      <c r="H23" s="64">
        <f t="shared" si="2"/>
        <v>-1.2356379</v>
      </c>
      <c r="I23" s="74">
        <f t="shared" ref="I23:I28" si="5">F23*0.0980665</f>
        <v>0</v>
      </c>
      <c r="J23" s="67"/>
      <c r="K23" s="64">
        <f t="shared" si="3"/>
        <v>-1.50948</v>
      </c>
      <c r="L23" s="65">
        <f t="shared" ref="L23:L28" si="6">(F23*119.8)/1000</f>
        <v>0</v>
      </c>
      <c r="M23" s="67"/>
      <c r="N23" s="68"/>
      <c r="O23" s="69"/>
      <c r="P23" s="69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 ht="15.0" customHeight="1">
      <c r="A24" s="61">
        <v>45946.0</v>
      </c>
      <c r="B24" s="62">
        <v>2856.0</v>
      </c>
      <c r="C24" s="62">
        <v>2984.0</v>
      </c>
      <c r="D24" s="63"/>
      <c r="E24" s="64">
        <f t="shared" si="1"/>
        <v>-6.3</v>
      </c>
      <c r="F24" s="74">
        <f t="shared" si="4"/>
        <v>10.5</v>
      </c>
      <c r="G24" s="66"/>
      <c r="H24" s="64">
        <f t="shared" si="2"/>
        <v>-0.61781895</v>
      </c>
      <c r="I24" s="74">
        <f t="shared" si="5"/>
        <v>1.02969825</v>
      </c>
      <c r="J24" s="67"/>
      <c r="K24" s="64">
        <f t="shared" si="3"/>
        <v>-0.75474</v>
      </c>
      <c r="L24" s="65">
        <f t="shared" si="6"/>
        <v>1.2579</v>
      </c>
      <c r="M24" s="67"/>
      <c r="N24" s="68"/>
      <c r="O24" s="69"/>
      <c r="P24" s="69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 ht="15.0" customHeight="1">
      <c r="A25" s="61">
        <v>45953.0</v>
      </c>
      <c r="B25" s="62">
        <v>2858.0</v>
      </c>
      <c r="C25" s="62">
        <v>2981.0</v>
      </c>
      <c r="D25" s="63">
        <v>3152.0</v>
      </c>
      <c r="E25" s="64">
        <f t="shared" si="1"/>
        <v>-2.1</v>
      </c>
      <c r="F25" s="74">
        <f t="shared" si="4"/>
        <v>4.2</v>
      </c>
      <c r="G25" s="66">
        <f t="shared" ref="G25:G28" si="7">(D25-$D$25)*2.1</f>
        <v>0</v>
      </c>
      <c r="H25" s="64">
        <f t="shared" si="2"/>
        <v>-0.20593965</v>
      </c>
      <c r="I25" s="74">
        <f t="shared" si="5"/>
        <v>0.4118793</v>
      </c>
      <c r="J25" s="67">
        <f t="shared" ref="J25:J28" si="8">G25*0.0980665</f>
        <v>0</v>
      </c>
      <c r="K25" s="64">
        <f t="shared" si="3"/>
        <v>-0.25158</v>
      </c>
      <c r="L25" s="65">
        <f t="shared" si="6"/>
        <v>0.50316</v>
      </c>
      <c r="M25" s="67">
        <f t="shared" ref="M25:M28" si="9">(G25*119.8)/1000</f>
        <v>0</v>
      </c>
      <c r="N25" s="71"/>
      <c r="O25" s="72"/>
      <c r="P25" s="72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 ht="15.0" customHeight="1">
      <c r="A26" s="61">
        <v>45959.0</v>
      </c>
      <c r="B26" s="62">
        <v>2855.0</v>
      </c>
      <c r="C26" s="62">
        <v>2970.0</v>
      </c>
      <c r="D26" s="63">
        <v>3147.0</v>
      </c>
      <c r="E26" s="64">
        <f t="shared" si="1"/>
        <v>-8.4</v>
      </c>
      <c r="F26" s="74">
        <f t="shared" si="4"/>
        <v>-18.9</v>
      </c>
      <c r="G26" s="66">
        <f t="shared" si="7"/>
        <v>-10.5</v>
      </c>
      <c r="H26" s="64">
        <f t="shared" si="2"/>
        <v>-0.8237586</v>
      </c>
      <c r="I26" s="74">
        <f t="shared" si="5"/>
        <v>-1.85345685</v>
      </c>
      <c r="J26" s="67">
        <f t="shared" si="8"/>
        <v>-1.02969825</v>
      </c>
      <c r="K26" s="64">
        <f t="shared" si="3"/>
        <v>-1.00632</v>
      </c>
      <c r="L26" s="65">
        <f t="shared" si="6"/>
        <v>-2.26422</v>
      </c>
      <c r="M26" s="67">
        <f t="shared" si="9"/>
        <v>-1.2579</v>
      </c>
      <c r="N26" s="71"/>
      <c r="O26" s="72"/>
      <c r="P26" s="72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ht="15.0" customHeight="1">
      <c r="A27" s="61">
        <v>45966.0</v>
      </c>
      <c r="B27" s="62">
        <v>2843.0</v>
      </c>
      <c r="C27" s="62">
        <v>2978.0</v>
      </c>
      <c r="D27" s="62">
        <v>3161.0</v>
      </c>
      <c r="E27" s="64">
        <f t="shared" si="1"/>
        <v>-33.6</v>
      </c>
      <c r="F27" s="74">
        <f t="shared" si="4"/>
        <v>-2.1</v>
      </c>
      <c r="G27" s="66">
        <f t="shared" si="7"/>
        <v>18.9</v>
      </c>
      <c r="H27" s="64">
        <f t="shared" si="2"/>
        <v>-3.2950344</v>
      </c>
      <c r="I27" s="74">
        <f t="shared" si="5"/>
        <v>-0.20593965</v>
      </c>
      <c r="J27" s="67">
        <f t="shared" si="8"/>
        <v>1.85345685</v>
      </c>
      <c r="K27" s="64">
        <f t="shared" si="3"/>
        <v>-4.02528</v>
      </c>
      <c r="L27" s="65">
        <f t="shared" si="6"/>
        <v>-0.25158</v>
      </c>
      <c r="M27" s="67">
        <f t="shared" si="9"/>
        <v>2.26422</v>
      </c>
      <c r="N27" s="71"/>
      <c r="O27" s="72"/>
      <c r="P27" s="72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ht="15.0" customHeight="1">
      <c r="A28" s="61">
        <v>45971.0</v>
      </c>
      <c r="B28" s="62">
        <v>2849.0</v>
      </c>
      <c r="C28" s="62">
        <v>2993.0</v>
      </c>
      <c r="D28" s="62">
        <v>3156.0</v>
      </c>
      <c r="E28" s="64">
        <f t="shared" si="1"/>
        <v>-21</v>
      </c>
      <c r="F28" s="74">
        <f t="shared" si="4"/>
        <v>29.4</v>
      </c>
      <c r="G28" s="66">
        <f t="shared" si="7"/>
        <v>8.4</v>
      </c>
      <c r="H28" s="64">
        <f t="shared" si="2"/>
        <v>-2.0593965</v>
      </c>
      <c r="I28" s="74">
        <f t="shared" si="5"/>
        <v>2.8831551</v>
      </c>
      <c r="J28" s="67">
        <f t="shared" si="8"/>
        <v>0.8237586</v>
      </c>
      <c r="K28" s="64">
        <f t="shared" si="3"/>
        <v>-2.5158</v>
      </c>
      <c r="L28" s="65">
        <f t="shared" si="6"/>
        <v>3.52212</v>
      </c>
      <c r="M28" s="67">
        <f t="shared" si="9"/>
        <v>1.00632</v>
      </c>
      <c r="N28" s="71"/>
      <c r="O28" s="72"/>
      <c r="P28" s="72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 ht="15.0" customHeight="1">
      <c r="A29" s="61"/>
      <c r="B29" s="62"/>
      <c r="C29" s="62"/>
      <c r="D29" s="63"/>
      <c r="E29" s="64"/>
      <c r="F29" s="65"/>
      <c r="G29" s="65"/>
      <c r="H29" s="64"/>
      <c r="I29" s="74"/>
      <c r="J29" s="67"/>
      <c r="K29" s="64"/>
      <c r="L29" s="65"/>
      <c r="M29" s="67"/>
      <c r="N29" s="71"/>
      <c r="O29" s="72"/>
      <c r="P29" s="72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 ht="15.0" customHeight="1">
      <c r="A30" s="61"/>
      <c r="B30" s="62"/>
      <c r="C30" s="62"/>
      <c r="D30" s="63"/>
      <c r="E30" s="64"/>
      <c r="F30" s="65"/>
      <c r="G30" s="65"/>
      <c r="H30" s="64"/>
      <c r="I30" s="74"/>
      <c r="J30" s="75"/>
      <c r="K30" s="64"/>
      <c r="L30" s="75"/>
      <c r="M30" s="67"/>
      <c r="N30" s="76"/>
      <c r="O30" s="72"/>
      <c r="P30" s="72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 ht="15.0" customHeight="1">
      <c r="A31" s="61"/>
      <c r="B31" s="62"/>
      <c r="C31" s="62"/>
      <c r="D31" s="63"/>
      <c r="E31" s="64"/>
      <c r="F31" s="65"/>
      <c r="G31" s="65"/>
      <c r="H31" s="64"/>
      <c r="I31" s="74"/>
      <c r="J31" s="75"/>
      <c r="K31" s="64"/>
      <c r="L31" s="75"/>
      <c r="M31" s="67"/>
      <c r="N31" s="71"/>
      <c r="O31" s="72"/>
      <c r="P31" s="72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 ht="15.0" customHeight="1">
      <c r="A32" s="61"/>
      <c r="B32" s="62"/>
      <c r="C32" s="62"/>
      <c r="D32" s="63"/>
      <c r="E32" s="64"/>
      <c r="F32" s="65"/>
      <c r="G32" s="65"/>
      <c r="H32" s="64"/>
      <c r="I32" s="74"/>
      <c r="J32" s="75"/>
      <c r="K32" s="64"/>
      <c r="L32" s="75"/>
      <c r="M32" s="67"/>
      <c r="N32" s="71"/>
      <c r="O32" s="72"/>
      <c r="P32" s="72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ht="15.0" customHeight="1">
      <c r="A33" s="61"/>
      <c r="B33" s="62"/>
      <c r="C33" s="62"/>
      <c r="D33" s="63"/>
      <c r="E33" s="64"/>
      <c r="F33" s="65"/>
      <c r="G33" s="65"/>
      <c r="H33" s="64"/>
      <c r="I33" s="74"/>
      <c r="J33" s="75"/>
      <c r="K33" s="64"/>
      <c r="L33" s="75"/>
      <c r="M33" s="67"/>
      <c r="N33" s="76"/>
      <c r="O33" s="72"/>
      <c r="P33" s="72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 ht="15.0" customHeight="1">
      <c r="A34" s="77"/>
      <c r="B34" s="78"/>
      <c r="C34" s="78"/>
      <c r="D34" s="78"/>
      <c r="E34" s="79"/>
      <c r="F34" s="80"/>
      <c r="G34" s="81"/>
      <c r="H34" s="79"/>
      <c r="I34" s="80"/>
      <c r="J34" s="82"/>
      <c r="K34" s="79"/>
      <c r="L34" s="83"/>
      <c r="M34" s="82"/>
      <c r="N34" s="71"/>
      <c r="O34" s="72"/>
      <c r="P34" s="72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 ht="15.0" customHeight="1">
      <c r="A35" s="77"/>
      <c r="B35" s="78"/>
      <c r="C35" s="78"/>
      <c r="D35" s="78"/>
      <c r="E35" s="79"/>
      <c r="F35" s="80"/>
      <c r="G35" s="81"/>
      <c r="H35" s="79"/>
      <c r="I35" s="80"/>
      <c r="J35" s="82"/>
      <c r="K35" s="79"/>
      <c r="L35" s="83"/>
      <c r="M35" s="82"/>
      <c r="N35" s="71"/>
      <c r="O35" s="72"/>
      <c r="P35" s="72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 ht="15.0" customHeight="1">
      <c r="A36" s="77"/>
      <c r="B36" s="78"/>
      <c r="C36" s="78"/>
      <c r="D36" s="78"/>
      <c r="E36" s="79"/>
      <c r="F36" s="80"/>
      <c r="G36" s="81"/>
      <c r="H36" s="79"/>
      <c r="I36" s="80"/>
      <c r="J36" s="82"/>
      <c r="K36" s="79"/>
      <c r="L36" s="83"/>
      <c r="M36" s="82"/>
      <c r="N36" s="71"/>
      <c r="O36" s="72"/>
      <c r="P36" s="72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 ht="15.0" customHeight="1">
      <c r="A37" s="77"/>
      <c r="B37" s="78"/>
      <c r="C37" s="78"/>
      <c r="D37" s="78"/>
      <c r="E37" s="79"/>
      <c r="F37" s="80"/>
      <c r="G37" s="81"/>
      <c r="H37" s="79"/>
      <c r="I37" s="80"/>
      <c r="J37" s="82"/>
      <c r="K37" s="79"/>
      <c r="L37" s="83"/>
      <c r="M37" s="82"/>
      <c r="N37" s="71"/>
      <c r="O37" s="72"/>
      <c r="P37" s="72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ht="15.0" customHeight="1">
      <c r="A38" s="77"/>
      <c r="B38" s="78"/>
      <c r="C38" s="78"/>
      <c r="D38" s="78"/>
      <c r="E38" s="79"/>
      <c r="F38" s="80"/>
      <c r="G38" s="81"/>
      <c r="H38" s="79"/>
      <c r="I38" s="80"/>
      <c r="J38" s="82"/>
      <c r="K38" s="79"/>
      <c r="L38" s="83"/>
      <c r="M38" s="82"/>
      <c r="N38" s="71"/>
      <c r="O38" s="72"/>
      <c r="P38" s="72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ht="15.0" customHeight="1">
      <c r="A39" s="77"/>
      <c r="B39" s="78"/>
      <c r="C39" s="78"/>
      <c r="D39" s="78"/>
      <c r="E39" s="79"/>
      <c r="F39" s="80"/>
      <c r="G39" s="81"/>
      <c r="H39" s="79"/>
      <c r="I39" s="80"/>
      <c r="J39" s="82"/>
      <c r="K39" s="79"/>
      <c r="L39" s="83"/>
      <c r="M39" s="82"/>
      <c r="N39" s="71"/>
      <c r="O39" s="72"/>
      <c r="P39" s="72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 ht="15.0" customHeight="1">
      <c r="A40" s="77"/>
      <c r="B40" s="78"/>
      <c r="C40" s="78"/>
      <c r="D40" s="78"/>
      <c r="E40" s="79"/>
      <c r="F40" s="80"/>
      <c r="G40" s="81"/>
      <c r="H40" s="79"/>
      <c r="I40" s="80"/>
      <c r="J40" s="82"/>
      <c r="K40" s="79"/>
      <c r="L40" s="83"/>
      <c r="M40" s="82"/>
      <c r="N40" s="71"/>
      <c r="O40" s="72"/>
      <c r="P40" s="72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ht="15.0" customHeight="1">
      <c r="A41" s="77"/>
      <c r="B41" s="78"/>
      <c r="C41" s="78"/>
      <c r="D41" s="78"/>
      <c r="E41" s="79"/>
      <c r="F41" s="80"/>
      <c r="G41" s="81"/>
      <c r="H41" s="79"/>
      <c r="I41" s="80"/>
      <c r="J41" s="82"/>
      <c r="K41" s="79"/>
      <c r="L41" s="83"/>
      <c r="M41" s="82"/>
      <c r="N41" s="71"/>
      <c r="O41" s="72"/>
      <c r="P41" s="72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 ht="15.0" customHeight="1">
      <c r="A42" s="77"/>
      <c r="B42" s="78"/>
      <c r="C42" s="78"/>
      <c r="D42" s="78"/>
      <c r="E42" s="79"/>
      <c r="F42" s="80"/>
      <c r="G42" s="81"/>
      <c r="H42" s="79"/>
      <c r="I42" s="80"/>
      <c r="J42" s="82"/>
      <c r="K42" s="79"/>
      <c r="L42" s="83"/>
      <c r="M42" s="82"/>
      <c r="N42" s="71"/>
      <c r="O42" s="72"/>
      <c r="P42" s="72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 ht="15.0" customHeight="1">
      <c r="A43" s="77"/>
      <c r="B43" s="78"/>
      <c r="C43" s="78"/>
      <c r="D43" s="78"/>
      <c r="E43" s="79"/>
      <c r="F43" s="80"/>
      <c r="G43" s="81"/>
      <c r="H43" s="79"/>
      <c r="I43" s="80"/>
      <c r="J43" s="82"/>
      <c r="K43" s="79"/>
      <c r="L43" s="83"/>
      <c r="M43" s="82"/>
      <c r="N43" s="71"/>
      <c r="O43" s="72"/>
      <c r="P43" s="72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ht="15.0" customHeight="1">
      <c r="A44" s="77"/>
      <c r="B44" s="78"/>
      <c r="C44" s="78"/>
      <c r="D44" s="78"/>
      <c r="E44" s="79"/>
      <c r="F44" s="80"/>
      <c r="G44" s="81"/>
      <c r="H44" s="79"/>
      <c r="I44" s="80"/>
      <c r="J44" s="82"/>
      <c r="K44" s="79"/>
      <c r="L44" s="83"/>
      <c r="M44" s="82"/>
      <c r="N44" s="71"/>
      <c r="O44" s="72"/>
      <c r="P44" s="72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ht="15.0" customHeight="1">
      <c r="A45" s="77"/>
      <c r="B45" s="78"/>
      <c r="C45" s="78"/>
      <c r="D45" s="78"/>
      <c r="E45" s="79"/>
      <c r="F45" s="80"/>
      <c r="G45" s="81"/>
      <c r="H45" s="79"/>
      <c r="I45" s="80"/>
      <c r="J45" s="82"/>
      <c r="K45" s="79"/>
      <c r="L45" s="83"/>
      <c r="M45" s="82"/>
      <c r="N45" s="71"/>
      <c r="O45" s="72"/>
      <c r="P45" s="72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ht="15.0" customHeight="1">
      <c r="A46" s="77"/>
      <c r="B46" s="78"/>
      <c r="C46" s="78"/>
      <c r="D46" s="78"/>
      <c r="E46" s="79"/>
      <c r="F46" s="80"/>
      <c r="G46" s="81"/>
      <c r="H46" s="79"/>
      <c r="I46" s="80"/>
      <c r="J46" s="82"/>
      <c r="K46" s="79"/>
      <c r="L46" s="83"/>
      <c r="M46" s="82"/>
      <c r="N46" s="71"/>
      <c r="O46" s="72"/>
      <c r="P46" s="72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ht="15.0" customHeight="1">
      <c r="A47" s="77"/>
      <c r="B47" s="78"/>
      <c r="C47" s="78"/>
      <c r="D47" s="78"/>
      <c r="E47" s="79"/>
      <c r="F47" s="80"/>
      <c r="G47" s="81"/>
      <c r="H47" s="79"/>
      <c r="I47" s="80"/>
      <c r="J47" s="82"/>
      <c r="K47" s="79"/>
      <c r="L47" s="83"/>
      <c r="M47" s="82"/>
      <c r="N47" s="71"/>
      <c r="O47" s="72"/>
      <c r="P47" s="72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 ht="15.0" customHeight="1">
      <c r="A48" s="77"/>
      <c r="B48" s="78"/>
      <c r="C48" s="78"/>
      <c r="D48" s="78"/>
      <c r="E48" s="79"/>
      <c r="F48" s="80"/>
      <c r="G48" s="81"/>
      <c r="H48" s="79"/>
      <c r="I48" s="80"/>
      <c r="J48" s="82"/>
      <c r="K48" s="79"/>
      <c r="L48" s="83"/>
      <c r="M48" s="82"/>
      <c r="N48" s="71"/>
      <c r="O48" s="72"/>
      <c r="P48" s="72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 ht="15.0" customHeight="1">
      <c r="A49" s="77"/>
      <c r="B49" s="78"/>
      <c r="C49" s="78"/>
      <c r="D49" s="78"/>
      <c r="E49" s="79"/>
      <c r="F49" s="80"/>
      <c r="G49" s="81"/>
      <c r="H49" s="79"/>
      <c r="I49" s="80"/>
      <c r="J49" s="82"/>
      <c r="K49" s="79"/>
      <c r="L49" s="83"/>
      <c r="M49" s="82"/>
      <c r="N49" s="71"/>
      <c r="O49" s="72"/>
      <c r="P49" s="72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 ht="15.0" customHeight="1">
      <c r="A50" s="77"/>
      <c r="B50" s="78"/>
      <c r="C50" s="78"/>
      <c r="D50" s="78"/>
      <c r="E50" s="79"/>
      <c r="F50" s="80"/>
      <c r="G50" s="81"/>
      <c r="H50" s="79"/>
      <c r="I50" s="80"/>
      <c r="J50" s="82"/>
      <c r="K50" s="79"/>
      <c r="L50" s="83"/>
      <c r="M50" s="82"/>
      <c r="N50" s="71"/>
      <c r="O50" s="72"/>
      <c r="P50" s="72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ht="15.0" customHeight="1">
      <c r="A51" s="77"/>
      <c r="B51" s="78"/>
      <c r="C51" s="78"/>
      <c r="D51" s="78"/>
      <c r="E51" s="79"/>
      <c r="F51" s="80"/>
      <c r="G51" s="81"/>
      <c r="H51" s="79"/>
      <c r="I51" s="80"/>
      <c r="J51" s="82"/>
      <c r="K51" s="79"/>
      <c r="L51" s="83"/>
      <c r="M51" s="82"/>
      <c r="N51" s="71"/>
      <c r="O51" s="72"/>
      <c r="P51" s="72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 ht="15.0" customHeight="1">
      <c r="A52" s="77"/>
      <c r="B52" s="78"/>
      <c r="C52" s="78"/>
      <c r="D52" s="78"/>
      <c r="E52" s="79"/>
      <c r="F52" s="80"/>
      <c r="G52" s="81"/>
      <c r="H52" s="79"/>
      <c r="I52" s="80"/>
      <c r="J52" s="82"/>
      <c r="K52" s="79"/>
      <c r="L52" s="83"/>
      <c r="M52" s="82"/>
      <c r="N52" s="71"/>
      <c r="O52" s="72"/>
      <c r="P52" s="72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ht="15.0" customHeight="1">
      <c r="A53" s="77"/>
      <c r="B53" s="78"/>
      <c r="C53" s="78"/>
      <c r="D53" s="78"/>
      <c r="E53" s="79"/>
      <c r="F53" s="80"/>
      <c r="G53" s="81"/>
      <c r="H53" s="79"/>
      <c r="I53" s="80"/>
      <c r="J53" s="82"/>
      <c r="K53" s="79"/>
      <c r="L53" s="83"/>
      <c r="M53" s="82"/>
      <c r="N53" s="71"/>
      <c r="O53" s="72"/>
      <c r="P53" s="72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ht="15.0" customHeight="1">
      <c r="A54" s="77"/>
      <c r="B54" s="78"/>
      <c r="C54" s="78"/>
      <c r="D54" s="78"/>
      <c r="E54" s="79"/>
      <c r="F54" s="80"/>
      <c r="G54" s="81"/>
      <c r="H54" s="79"/>
      <c r="I54" s="80"/>
      <c r="J54" s="82"/>
      <c r="K54" s="79"/>
      <c r="L54" s="83"/>
      <c r="M54" s="82"/>
      <c r="N54" s="71"/>
      <c r="O54" s="72"/>
      <c r="P54" s="72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ht="15.0" customHeight="1">
      <c r="A55" s="77"/>
      <c r="B55" s="78"/>
      <c r="C55" s="78"/>
      <c r="D55" s="78"/>
      <c r="E55" s="79"/>
      <c r="F55" s="80"/>
      <c r="G55" s="81"/>
      <c r="H55" s="79"/>
      <c r="I55" s="80"/>
      <c r="J55" s="82"/>
      <c r="K55" s="79"/>
      <c r="L55" s="83"/>
      <c r="M55" s="82"/>
      <c r="N55" s="71"/>
      <c r="O55" s="72"/>
      <c r="P55" s="72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 ht="15.0" customHeight="1">
      <c r="A56" s="77"/>
      <c r="B56" s="78"/>
      <c r="C56" s="78"/>
      <c r="D56" s="78"/>
      <c r="E56" s="79"/>
      <c r="F56" s="80"/>
      <c r="G56" s="81"/>
      <c r="H56" s="79"/>
      <c r="I56" s="80"/>
      <c r="J56" s="82"/>
      <c r="K56" s="79"/>
      <c r="L56" s="83"/>
      <c r="M56" s="82"/>
      <c r="N56" s="71"/>
      <c r="O56" s="72"/>
      <c r="P56" s="72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 ht="15.0" customHeight="1">
      <c r="A57" s="77"/>
      <c r="B57" s="78"/>
      <c r="C57" s="78"/>
      <c r="D57" s="78"/>
      <c r="E57" s="79"/>
      <c r="F57" s="80"/>
      <c r="G57" s="81"/>
      <c r="H57" s="79"/>
      <c r="I57" s="80"/>
      <c r="J57" s="82"/>
      <c r="K57" s="79"/>
      <c r="L57" s="83"/>
      <c r="M57" s="82"/>
      <c r="N57" s="71"/>
      <c r="O57" s="72"/>
      <c r="P57" s="72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ht="15.0" customHeight="1">
      <c r="A58" s="77"/>
      <c r="B58" s="78"/>
      <c r="C58" s="78"/>
      <c r="D58" s="78"/>
      <c r="E58" s="79"/>
      <c r="F58" s="80"/>
      <c r="G58" s="81"/>
      <c r="H58" s="79"/>
      <c r="I58" s="80"/>
      <c r="J58" s="82"/>
      <c r="K58" s="79"/>
      <c r="L58" s="83"/>
      <c r="M58" s="82"/>
      <c r="N58" s="71"/>
      <c r="O58" s="72"/>
      <c r="P58" s="72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ht="15.0" customHeight="1">
      <c r="A59" s="77"/>
      <c r="B59" s="78"/>
      <c r="C59" s="78"/>
      <c r="D59" s="78"/>
      <c r="E59" s="79"/>
      <c r="F59" s="80"/>
      <c r="G59" s="81"/>
      <c r="H59" s="79"/>
      <c r="I59" s="80"/>
      <c r="J59" s="82"/>
      <c r="K59" s="79"/>
      <c r="L59" s="83"/>
      <c r="M59" s="82"/>
      <c r="N59" s="71"/>
      <c r="O59" s="72"/>
      <c r="P59" s="72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ht="15.0" customHeight="1">
      <c r="A60" s="77"/>
      <c r="B60" s="78"/>
      <c r="C60" s="78"/>
      <c r="D60" s="78"/>
      <c r="E60" s="79"/>
      <c r="F60" s="80"/>
      <c r="G60" s="81"/>
      <c r="H60" s="79"/>
      <c r="I60" s="80"/>
      <c r="J60" s="82"/>
      <c r="K60" s="79"/>
      <c r="L60" s="83"/>
      <c r="M60" s="82"/>
      <c r="N60" s="71"/>
      <c r="O60" s="72"/>
      <c r="P60" s="72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ht="15.0" customHeight="1">
      <c r="A61" s="77"/>
      <c r="B61" s="78"/>
      <c r="C61" s="78"/>
      <c r="D61" s="78"/>
      <c r="E61" s="79"/>
      <c r="F61" s="80"/>
      <c r="G61" s="81"/>
      <c r="H61" s="79"/>
      <c r="I61" s="80"/>
      <c r="J61" s="82"/>
      <c r="K61" s="79"/>
      <c r="L61" s="83"/>
      <c r="M61" s="82"/>
      <c r="N61" s="71"/>
      <c r="O61" s="72"/>
      <c r="P61" s="72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ht="15.0" customHeight="1">
      <c r="A62" s="77"/>
      <c r="B62" s="78"/>
      <c r="C62" s="78"/>
      <c r="D62" s="78"/>
      <c r="E62" s="79"/>
      <c r="F62" s="80"/>
      <c r="G62" s="81"/>
      <c r="H62" s="79"/>
      <c r="I62" s="80"/>
      <c r="J62" s="82"/>
      <c r="K62" s="79"/>
      <c r="L62" s="83"/>
      <c r="M62" s="82"/>
      <c r="N62" s="71"/>
      <c r="O62" s="72"/>
      <c r="P62" s="72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ht="15.0" customHeight="1">
      <c r="A63" s="77"/>
      <c r="B63" s="78"/>
      <c r="C63" s="78"/>
      <c r="D63" s="78"/>
      <c r="E63" s="79"/>
      <c r="F63" s="80"/>
      <c r="G63" s="81"/>
      <c r="H63" s="79"/>
      <c r="I63" s="80"/>
      <c r="J63" s="82"/>
      <c r="K63" s="79"/>
      <c r="L63" s="83"/>
      <c r="M63" s="82"/>
      <c r="N63" s="71"/>
      <c r="O63" s="72"/>
      <c r="P63" s="72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ht="15.0" customHeight="1">
      <c r="A64" s="77"/>
      <c r="B64" s="78"/>
      <c r="C64" s="78"/>
      <c r="D64" s="78"/>
      <c r="E64" s="79"/>
      <c r="F64" s="80"/>
      <c r="G64" s="81"/>
      <c r="H64" s="79"/>
      <c r="I64" s="80"/>
      <c r="J64" s="82"/>
      <c r="K64" s="79"/>
      <c r="L64" s="83"/>
      <c r="M64" s="82"/>
      <c r="N64" s="71"/>
      <c r="O64" s="72"/>
      <c r="P64" s="72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ht="15.0" customHeight="1">
      <c r="A65" s="77"/>
      <c r="B65" s="78"/>
      <c r="C65" s="78"/>
      <c r="D65" s="78"/>
      <c r="E65" s="79"/>
      <c r="F65" s="80"/>
      <c r="G65" s="81"/>
      <c r="H65" s="79"/>
      <c r="I65" s="80"/>
      <c r="J65" s="82"/>
      <c r="K65" s="79"/>
      <c r="L65" s="83"/>
      <c r="M65" s="82"/>
      <c r="N65" s="71"/>
      <c r="O65" s="72"/>
      <c r="P65" s="72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 ht="15.0" customHeight="1">
      <c r="A66" s="77"/>
      <c r="B66" s="78"/>
      <c r="C66" s="78"/>
      <c r="D66" s="78"/>
      <c r="E66" s="79"/>
      <c r="F66" s="80"/>
      <c r="G66" s="81"/>
      <c r="H66" s="79"/>
      <c r="I66" s="80"/>
      <c r="J66" s="82"/>
      <c r="K66" s="79"/>
      <c r="L66" s="83"/>
      <c r="M66" s="82"/>
      <c r="N66" s="71"/>
      <c r="O66" s="72"/>
      <c r="P66" s="72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ht="15.0" customHeight="1">
      <c r="A67" s="77"/>
      <c r="B67" s="78"/>
      <c r="C67" s="78"/>
      <c r="D67" s="78"/>
      <c r="E67" s="79"/>
      <c r="F67" s="80"/>
      <c r="G67" s="81"/>
      <c r="H67" s="79"/>
      <c r="I67" s="80"/>
      <c r="J67" s="82"/>
      <c r="K67" s="79"/>
      <c r="L67" s="83"/>
      <c r="M67" s="82"/>
      <c r="N67" s="71"/>
      <c r="O67" s="72"/>
      <c r="P67" s="72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ht="15.0" customHeight="1">
      <c r="A68" s="77"/>
      <c r="B68" s="78"/>
      <c r="C68" s="78"/>
      <c r="D68" s="78"/>
      <c r="E68" s="79"/>
      <c r="F68" s="80"/>
      <c r="G68" s="81"/>
      <c r="H68" s="79"/>
      <c r="I68" s="80"/>
      <c r="J68" s="82"/>
      <c r="K68" s="79"/>
      <c r="L68" s="83"/>
      <c r="M68" s="82"/>
      <c r="N68" s="71"/>
      <c r="O68" s="72"/>
      <c r="P68" s="72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ht="15.0" customHeight="1">
      <c r="A69" s="77"/>
      <c r="B69" s="78"/>
      <c r="C69" s="78"/>
      <c r="D69" s="78"/>
      <c r="E69" s="79"/>
      <c r="F69" s="80"/>
      <c r="G69" s="81"/>
      <c r="H69" s="79"/>
      <c r="I69" s="80"/>
      <c r="J69" s="82"/>
      <c r="K69" s="79"/>
      <c r="L69" s="83"/>
      <c r="M69" s="82"/>
      <c r="N69" s="71"/>
      <c r="O69" s="72"/>
      <c r="P69" s="72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ht="15.0" customHeight="1">
      <c r="A70" s="77"/>
      <c r="B70" s="78"/>
      <c r="C70" s="78"/>
      <c r="D70" s="84"/>
      <c r="E70" s="79"/>
      <c r="F70" s="80"/>
      <c r="G70" s="81"/>
      <c r="H70" s="79"/>
      <c r="I70" s="80"/>
      <c r="J70" s="82"/>
      <c r="K70" s="79"/>
      <c r="L70" s="83"/>
      <c r="M70" s="82"/>
      <c r="N70" s="71"/>
      <c r="O70" s="72"/>
      <c r="P70" s="72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ht="15.0" customHeight="1">
      <c r="A71" s="77"/>
      <c r="B71" s="78"/>
      <c r="C71" s="78"/>
      <c r="D71" s="84"/>
      <c r="E71" s="79"/>
      <c r="F71" s="80"/>
      <c r="G71" s="81"/>
      <c r="H71" s="79"/>
      <c r="I71" s="80"/>
      <c r="J71" s="82"/>
      <c r="K71" s="79"/>
      <c r="L71" s="83"/>
      <c r="M71" s="82"/>
      <c r="N71" s="71"/>
      <c r="O71" s="72"/>
      <c r="P71" s="72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ht="15.0" customHeight="1">
      <c r="A72" s="77"/>
      <c r="B72" s="78"/>
      <c r="C72" s="78"/>
      <c r="D72" s="84"/>
      <c r="E72" s="79"/>
      <c r="F72" s="80"/>
      <c r="G72" s="81"/>
      <c r="H72" s="79"/>
      <c r="I72" s="80"/>
      <c r="J72" s="82"/>
      <c r="K72" s="79"/>
      <c r="L72" s="83"/>
      <c r="M72" s="82"/>
      <c r="N72" s="71"/>
      <c r="O72" s="72"/>
      <c r="P72" s="72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ht="15.0" customHeight="1">
      <c r="A73" s="77"/>
      <c r="B73" s="78"/>
      <c r="C73" s="78"/>
      <c r="D73" s="84"/>
      <c r="E73" s="79"/>
      <c r="F73" s="80"/>
      <c r="G73" s="81"/>
      <c r="H73" s="79"/>
      <c r="I73" s="80"/>
      <c r="J73" s="82"/>
      <c r="K73" s="79"/>
      <c r="L73" s="83"/>
      <c r="M73" s="82"/>
      <c r="N73" s="71"/>
      <c r="O73" s="72"/>
      <c r="P73" s="72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ht="15.0" customHeight="1">
      <c r="A74" s="77"/>
      <c r="B74" s="78"/>
      <c r="C74" s="78"/>
      <c r="D74" s="84"/>
      <c r="E74" s="79"/>
      <c r="F74" s="80"/>
      <c r="G74" s="81"/>
      <c r="H74" s="79"/>
      <c r="I74" s="80"/>
      <c r="J74" s="82"/>
      <c r="K74" s="79"/>
      <c r="L74" s="83"/>
      <c r="M74" s="82"/>
      <c r="N74" s="71"/>
      <c r="O74" s="72"/>
      <c r="P74" s="72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ht="15.0" customHeight="1">
      <c r="A75" s="77"/>
      <c r="B75" s="78"/>
      <c r="C75" s="78"/>
      <c r="D75" s="84"/>
      <c r="E75" s="79"/>
      <c r="F75" s="80"/>
      <c r="G75" s="81"/>
      <c r="H75" s="79"/>
      <c r="I75" s="80"/>
      <c r="J75" s="82"/>
      <c r="K75" s="79"/>
      <c r="L75" s="83"/>
      <c r="M75" s="82"/>
      <c r="N75" s="71"/>
      <c r="O75" s="72"/>
      <c r="P75" s="72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ht="15.0" customHeight="1">
      <c r="A76" s="77"/>
      <c r="B76" s="78"/>
      <c r="C76" s="78"/>
      <c r="D76" s="84"/>
      <c r="E76" s="79"/>
      <c r="F76" s="80"/>
      <c r="G76" s="81"/>
      <c r="H76" s="79"/>
      <c r="I76" s="80"/>
      <c r="J76" s="82"/>
      <c r="K76" s="79"/>
      <c r="L76" s="83"/>
      <c r="M76" s="82"/>
      <c r="N76" s="71"/>
      <c r="O76" s="72"/>
      <c r="P76" s="72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ht="15.0" customHeight="1">
      <c r="A77" s="77"/>
      <c r="B77" s="78"/>
      <c r="C77" s="78"/>
      <c r="D77" s="84"/>
      <c r="E77" s="79"/>
      <c r="F77" s="80"/>
      <c r="G77" s="81"/>
      <c r="H77" s="79"/>
      <c r="I77" s="80"/>
      <c r="J77" s="82"/>
      <c r="K77" s="79"/>
      <c r="L77" s="83"/>
      <c r="M77" s="82"/>
      <c r="N77" s="71"/>
      <c r="O77" s="72"/>
      <c r="P77" s="72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ht="15.0" customHeight="1">
      <c r="A78" s="77"/>
      <c r="B78" s="78"/>
      <c r="C78" s="78"/>
      <c r="D78" s="84"/>
      <c r="E78" s="79"/>
      <c r="F78" s="80"/>
      <c r="G78" s="81"/>
      <c r="H78" s="79"/>
      <c r="I78" s="80"/>
      <c r="J78" s="82"/>
      <c r="K78" s="79"/>
      <c r="L78" s="83"/>
      <c r="M78" s="82"/>
      <c r="N78" s="71"/>
      <c r="O78" s="72"/>
      <c r="P78" s="72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ht="15.0" customHeight="1">
      <c r="A79" s="77"/>
      <c r="B79" s="78"/>
      <c r="C79" s="78"/>
      <c r="D79" s="84"/>
      <c r="E79" s="79"/>
      <c r="F79" s="80"/>
      <c r="G79" s="81"/>
      <c r="H79" s="79"/>
      <c r="I79" s="80"/>
      <c r="J79" s="82"/>
      <c r="K79" s="79"/>
      <c r="L79" s="83"/>
      <c r="M79" s="82"/>
      <c r="N79" s="71"/>
      <c r="O79" s="72"/>
      <c r="P79" s="72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ht="15.0" customHeight="1">
      <c r="A80" s="85"/>
      <c r="B80" s="78"/>
      <c r="C80" s="78"/>
      <c r="D80" s="84"/>
      <c r="E80" s="83"/>
      <c r="F80" s="80"/>
      <c r="G80" s="82"/>
      <c r="H80" s="83"/>
      <c r="I80" s="80"/>
      <c r="J80" s="82"/>
      <c r="K80" s="83"/>
      <c r="L80" s="80"/>
      <c r="M80" s="82"/>
      <c r="N80" s="71"/>
      <c r="O80" s="72"/>
      <c r="P80" s="72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ht="15.0" customHeight="1">
      <c r="A81" s="85"/>
      <c r="B81" s="78"/>
      <c r="C81" s="78"/>
      <c r="D81" s="84"/>
      <c r="E81" s="83"/>
      <c r="F81" s="80"/>
      <c r="G81" s="82"/>
      <c r="H81" s="83"/>
      <c r="I81" s="80"/>
      <c r="J81" s="82"/>
      <c r="K81" s="83"/>
      <c r="L81" s="80"/>
      <c r="M81" s="82"/>
      <c r="N81" s="86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5.0" customHeight="1">
      <c r="A82" s="85"/>
      <c r="B82" s="78"/>
      <c r="C82" s="78"/>
      <c r="D82" s="84"/>
      <c r="E82" s="83"/>
      <c r="F82" s="80"/>
      <c r="G82" s="82"/>
      <c r="H82" s="83"/>
      <c r="I82" s="80"/>
      <c r="J82" s="82"/>
      <c r="K82" s="83"/>
      <c r="L82" s="80"/>
      <c r="M82" s="82"/>
      <c r="N82" s="86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5.0" customHeight="1">
      <c r="A83" s="85"/>
      <c r="B83" s="78"/>
      <c r="C83" s="78"/>
      <c r="D83" s="84"/>
      <c r="E83" s="83"/>
      <c r="F83" s="80"/>
      <c r="G83" s="82"/>
      <c r="H83" s="83"/>
      <c r="I83" s="80"/>
      <c r="J83" s="82"/>
      <c r="K83" s="83"/>
      <c r="L83" s="80"/>
      <c r="M83" s="82"/>
      <c r="N83" s="86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5.0" customHeight="1">
      <c r="A84" s="85"/>
      <c r="B84" s="78"/>
      <c r="C84" s="78"/>
      <c r="D84" s="84"/>
      <c r="E84" s="83"/>
      <c r="F84" s="80"/>
      <c r="G84" s="82"/>
      <c r="H84" s="83"/>
      <c r="I84" s="80"/>
      <c r="J84" s="82"/>
      <c r="K84" s="83"/>
      <c r="L84" s="80"/>
      <c r="M84" s="82"/>
      <c r="N84" s="86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5.0" customHeight="1">
      <c r="A85" s="85"/>
      <c r="B85" s="78"/>
      <c r="C85" s="78"/>
      <c r="D85" s="84"/>
      <c r="E85" s="83"/>
      <c r="F85" s="80"/>
      <c r="G85" s="82"/>
      <c r="H85" s="83"/>
      <c r="I85" s="80"/>
      <c r="J85" s="82"/>
      <c r="K85" s="83"/>
      <c r="L85" s="80"/>
      <c r="M85" s="82"/>
      <c r="N85" s="86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5.0" customHeight="1">
      <c r="A86" s="85"/>
      <c r="B86" s="78"/>
      <c r="C86" s="78"/>
      <c r="D86" s="84"/>
      <c r="E86" s="83"/>
      <c r="F86" s="80"/>
      <c r="G86" s="82"/>
      <c r="H86" s="83"/>
      <c r="I86" s="80"/>
      <c r="J86" s="82"/>
      <c r="K86" s="83"/>
      <c r="L86" s="80"/>
      <c r="M86" s="82"/>
      <c r="N86" s="86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5.0" customHeight="1">
      <c r="A87" s="85"/>
      <c r="B87" s="78"/>
      <c r="C87" s="78"/>
      <c r="D87" s="84"/>
      <c r="E87" s="83"/>
      <c r="F87" s="80"/>
      <c r="G87" s="82"/>
      <c r="H87" s="83"/>
      <c r="I87" s="80"/>
      <c r="J87" s="82"/>
      <c r="K87" s="83"/>
      <c r="L87" s="80"/>
      <c r="M87" s="82"/>
      <c r="N87" s="86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5.0" customHeight="1">
      <c r="A88" s="85"/>
      <c r="B88" s="78"/>
      <c r="C88" s="78"/>
      <c r="D88" s="84"/>
      <c r="E88" s="83"/>
      <c r="F88" s="80"/>
      <c r="G88" s="82"/>
      <c r="H88" s="83"/>
      <c r="I88" s="80"/>
      <c r="J88" s="82"/>
      <c r="K88" s="83"/>
      <c r="L88" s="80"/>
      <c r="M88" s="82"/>
      <c r="N88" s="86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5.0" customHeight="1">
      <c r="A89" s="85"/>
      <c r="B89" s="78"/>
      <c r="C89" s="78"/>
      <c r="D89" s="84"/>
      <c r="E89" s="83"/>
      <c r="F89" s="80"/>
      <c r="G89" s="82"/>
      <c r="H89" s="83"/>
      <c r="I89" s="80"/>
      <c r="J89" s="82"/>
      <c r="K89" s="83"/>
      <c r="L89" s="80"/>
      <c r="M89" s="82"/>
      <c r="N89" s="86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5.0" customHeight="1">
      <c r="A90" s="85"/>
      <c r="B90" s="78"/>
      <c r="C90" s="78"/>
      <c r="D90" s="84"/>
      <c r="E90" s="83"/>
      <c r="F90" s="80"/>
      <c r="G90" s="82"/>
      <c r="H90" s="83"/>
      <c r="I90" s="80"/>
      <c r="J90" s="82"/>
      <c r="K90" s="83"/>
      <c r="L90" s="80"/>
      <c r="M90" s="82"/>
      <c r="N90" s="86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5.0" customHeight="1">
      <c r="A91" s="85"/>
      <c r="B91" s="78"/>
      <c r="C91" s="78"/>
      <c r="D91" s="84"/>
      <c r="E91" s="83"/>
      <c r="F91" s="80"/>
      <c r="G91" s="82"/>
      <c r="H91" s="83"/>
      <c r="I91" s="80"/>
      <c r="J91" s="82"/>
      <c r="K91" s="83"/>
      <c r="L91" s="80"/>
      <c r="M91" s="82"/>
      <c r="N91" s="86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5.0" customHeight="1">
      <c r="A92" s="85"/>
      <c r="B92" s="78"/>
      <c r="C92" s="78"/>
      <c r="D92" s="84"/>
      <c r="E92" s="83"/>
      <c r="F92" s="80"/>
      <c r="G92" s="82"/>
      <c r="H92" s="83"/>
      <c r="I92" s="80"/>
      <c r="J92" s="82"/>
      <c r="K92" s="83"/>
      <c r="L92" s="80"/>
      <c r="M92" s="82"/>
      <c r="N92" s="86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5.0" customHeight="1">
      <c r="A93" s="85"/>
      <c r="B93" s="78"/>
      <c r="C93" s="78"/>
      <c r="D93" s="84"/>
      <c r="E93" s="83"/>
      <c r="F93" s="80"/>
      <c r="G93" s="82"/>
      <c r="H93" s="83"/>
      <c r="I93" s="80"/>
      <c r="J93" s="82"/>
      <c r="K93" s="83"/>
      <c r="L93" s="80"/>
      <c r="M93" s="82"/>
      <c r="N93" s="86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5.0" customHeight="1">
      <c r="A94" s="85"/>
      <c r="B94" s="78"/>
      <c r="C94" s="78"/>
      <c r="D94" s="84"/>
      <c r="E94" s="83"/>
      <c r="F94" s="80"/>
      <c r="G94" s="82"/>
      <c r="H94" s="83"/>
      <c r="I94" s="80"/>
      <c r="J94" s="82"/>
      <c r="K94" s="83"/>
      <c r="L94" s="80"/>
      <c r="M94" s="82"/>
      <c r="N94" s="86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5.0" customHeight="1">
      <c r="A95" s="85"/>
      <c r="B95" s="78"/>
      <c r="C95" s="78"/>
      <c r="D95" s="84"/>
      <c r="E95" s="83"/>
      <c r="F95" s="80"/>
      <c r="G95" s="82"/>
      <c r="H95" s="83"/>
      <c r="I95" s="80"/>
      <c r="J95" s="82"/>
      <c r="K95" s="83"/>
      <c r="L95" s="80"/>
      <c r="M95" s="82"/>
      <c r="N95" s="86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5.0" customHeight="1">
      <c r="A96" s="85"/>
      <c r="B96" s="78"/>
      <c r="C96" s="78"/>
      <c r="D96" s="84"/>
      <c r="E96" s="83"/>
      <c r="F96" s="80"/>
      <c r="G96" s="82"/>
      <c r="H96" s="83"/>
      <c r="I96" s="80"/>
      <c r="J96" s="82"/>
      <c r="K96" s="83"/>
      <c r="L96" s="80"/>
      <c r="M96" s="82"/>
      <c r="N96" s="86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5.0" customHeight="1">
      <c r="A97" s="87"/>
      <c r="B97" s="87"/>
      <c r="C97" s="87"/>
      <c r="D97" s="88"/>
      <c r="E97" s="86"/>
      <c r="F97" s="87"/>
      <c r="G97" s="88"/>
      <c r="H97" s="86"/>
      <c r="I97" s="87"/>
      <c r="J97" s="88"/>
      <c r="K97" s="86"/>
      <c r="L97" s="87"/>
      <c r="M97" s="88"/>
      <c r="N97" s="86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5.0" customHeight="1">
      <c r="A98" s="87"/>
      <c r="B98" s="87"/>
      <c r="C98" s="87"/>
      <c r="D98" s="88"/>
      <c r="E98" s="86"/>
      <c r="F98" s="87"/>
      <c r="G98" s="88"/>
      <c r="H98" s="86"/>
      <c r="I98" s="87"/>
      <c r="J98" s="88"/>
      <c r="K98" s="86"/>
      <c r="L98" s="87"/>
      <c r="M98" s="88"/>
      <c r="N98" s="86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5.0" customHeight="1">
      <c r="A99" s="87"/>
      <c r="B99" s="87"/>
      <c r="C99" s="87"/>
      <c r="D99" s="88"/>
      <c r="E99" s="86"/>
      <c r="F99" s="87"/>
      <c r="G99" s="88"/>
      <c r="H99" s="86"/>
      <c r="I99" s="87"/>
      <c r="J99" s="88"/>
      <c r="K99" s="86"/>
      <c r="L99" s="87"/>
      <c r="M99" s="88"/>
      <c r="N99" s="86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5.0" customHeight="1">
      <c r="A100" s="87"/>
      <c r="B100" s="87"/>
      <c r="C100" s="87"/>
      <c r="D100" s="88"/>
      <c r="E100" s="86"/>
      <c r="F100" s="87"/>
      <c r="G100" s="88"/>
      <c r="H100" s="86"/>
      <c r="I100" s="87"/>
      <c r="J100" s="88"/>
      <c r="K100" s="86"/>
      <c r="L100" s="87"/>
      <c r="M100" s="88"/>
      <c r="N100" s="86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5.0" customHeight="1">
      <c r="A101" s="87"/>
      <c r="B101" s="87"/>
      <c r="C101" s="87"/>
      <c r="D101" s="88"/>
      <c r="E101" s="86"/>
      <c r="F101" s="87"/>
      <c r="G101" s="88"/>
      <c r="H101" s="86"/>
      <c r="I101" s="87"/>
      <c r="J101" s="88"/>
      <c r="K101" s="86"/>
      <c r="L101" s="87"/>
      <c r="M101" s="88"/>
      <c r="N101" s="86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5.0" customHeight="1">
      <c r="A102" s="87"/>
      <c r="B102" s="87"/>
      <c r="C102" s="87"/>
      <c r="D102" s="88"/>
      <c r="E102" s="86"/>
      <c r="F102" s="87"/>
      <c r="G102" s="88"/>
      <c r="H102" s="86"/>
      <c r="I102" s="87"/>
      <c r="J102" s="88"/>
      <c r="K102" s="86"/>
      <c r="L102" s="87"/>
      <c r="M102" s="88"/>
      <c r="N102" s="86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5.0" customHeight="1">
      <c r="A103" s="87"/>
      <c r="B103" s="87"/>
      <c r="C103" s="87"/>
      <c r="D103" s="88"/>
      <c r="E103" s="86"/>
      <c r="F103" s="87"/>
      <c r="G103" s="88"/>
      <c r="H103" s="86"/>
      <c r="I103" s="87"/>
      <c r="J103" s="88"/>
      <c r="K103" s="86"/>
      <c r="L103" s="87"/>
      <c r="M103" s="88"/>
      <c r="N103" s="86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5.0" customHeight="1">
      <c r="A104" s="87"/>
      <c r="B104" s="87"/>
      <c r="C104" s="87"/>
      <c r="D104" s="88"/>
      <c r="E104" s="86"/>
      <c r="F104" s="87"/>
      <c r="G104" s="88"/>
      <c r="H104" s="86"/>
      <c r="I104" s="87"/>
      <c r="J104" s="88"/>
      <c r="K104" s="86"/>
      <c r="L104" s="87"/>
      <c r="M104" s="88"/>
      <c r="N104" s="86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5.0" customHeight="1">
      <c r="A105" s="87"/>
      <c r="B105" s="87"/>
      <c r="C105" s="87"/>
      <c r="D105" s="88"/>
      <c r="E105" s="86"/>
      <c r="F105" s="87"/>
      <c r="G105" s="88"/>
      <c r="H105" s="86"/>
      <c r="I105" s="87"/>
      <c r="J105" s="88"/>
      <c r="K105" s="86"/>
      <c r="L105" s="87"/>
      <c r="M105" s="88"/>
      <c r="N105" s="86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5.0" customHeight="1">
      <c r="A106" s="87"/>
      <c r="B106" s="87"/>
      <c r="C106" s="87"/>
      <c r="D106" s="88"/>
      <c r="E106" s="86"/>
      <c r="F106" s="87"/>
      <c r="G106" s="88"/>
      <c r="H106" s="86"/>
      <c r="I106" s="87"/>
      <c r="J106" s="88"/>
      <c r="K106" s="86"/>
      <c r="L106" s="87"/>
      <c r="M106" s="88"/>
      <c r="N106" s="86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5.0" customHeight="1">
      <c r="A107" s="87"/>
      <c r="B107" s="87"/>
      <c r="C107" s="87"/>
      <c r="D107" s="88"/>
      <c r="E107" s="86"/>
      <c r="F107" s="87"/>
      <c r="G107" s="88"/>
      <c r="H107" s="86"/>
      <c r="I107" s="87"/>
      <c r="J107" s="88"/>
      <c r="K107" s="86"/>
      <c r="L107" s="87"/>
      <c r="M107" s="88"/>
      <c r="N107" s="86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5.0" customHeight="1">
      <c r="A108" s="87"/>
      <c r="B108" s="87"/>
      <c r="C108" s="87"/>
      <c r="D108" s="88"/>
      <c r="E108" s="86"/>
      <c r="F108" s="87"/>
      <c r="G108" s="88"/>
      <c r="H108" s="86"/>
      <c r="I108" s="87"/>
      <c r="J108" s="88"/>
      <c r="K108" s="86"/>
      <c r="L108" s="87"/>
      <c r="M108" s="88"/>
      <c r="N108" s="86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5.0" customHeight="1">
      <c r="A109" s="87"/>
      <c r="B109" s="87"/>
      <c r="C109" s="87"/>
      <c r="D109" s="88"/>
      <c r="E109" s="86"/>
      <c r="F109" s="87"/>
      <c r="G109" s="88"/>
      <c r="H109" s="86"/>
      <c r="I109" s="87"/>
      <c r="J109" s="88"/>
      <c r="K109" s="86"/>
      <c r="L109" s="87"/>
      <c r="M109" s="88"/>
      <c r="N109" s="86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5.0" customHeight="1">
      <c r="A110" s="87"/>
      <c r="B110" s="87"/>
      <c r="C110" s="87"/>
      <c r="D110" s="88"/>
      <c r="E110" s="86"/>
      <c r="F110" s="87"/>
      <c r="G110" s="88"/>
      <c r="H110" s="86"/>
      <c r="I110" s="87"/>
      <c r="J110" s="88"/>
      <c r="K110" s="86"/>
      <c r="L110" s="87"/>
      <c r="M110" s="88"/>
      <c r="N110" s="86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5.0" customHeight="1">
      <c r="A111" s="87"/>
      <c r="B111" s="87"/>
      <c r="C111" s="87"/>
      <c r="D111" s="88"/>
      <c r="E111" s="86"/>
      <c r="F111" s="87"/>
      <c r="G111" s="88"/>
      <c r="H111" s="86"/>
      <c r="I111" s="87"/>
      <c r="J111" s="88"/>
      <c r="K111" s="86"/>
      <c r="L111" s="87"/>
      <c r="M111" s="88"/>
      <c r="N111" s="86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5.0" customHeight="1">
      <c r="A112" s="87"/>
      <c r="B112" s="87"/>
      <c r="C112" s="87"/>
      <c r="D112" s="88"/>
      <c r="E112" s="86"/>
      <c r="F112" s="87"/>
      <c r="G112" s="88"/>
      <c r="H112" s="86"/>
      <c r="I112" s="87"/>
      <c r="J112" s="88"/>
      <c r="K112" s="86"/>
      <c r="L112" s="87"/>
      <c r="M112" s="88"/>
      <c r="N112" s="86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5.0" customHeight="1">
      <c r="A113" s="87"/>
      <c r="B113" s="87"/>
      <c r="C113" s="87"/>
      <c r="D113" s="88"/>
      <c r="E113" s="86"/>
      <c r="F113" s="87"/>
      <c r="G113" s="88"/>
      <c r="H113" s="86"/>
      <c r="I113" s="87"/>
      <c r="J113" s="88"/>
      <c r="K113" s="86"/>
      <c r="L113" s="87"/>
      <c r="M113" s="88"/>
      <c r="N113" s="86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5.0" customHeight="1">
      <c r="A114" s="87"/>
      <c r="B114" s="87"/>
      <c r="C114" s="87"/>
      <c r="D114" s="88"/>
      <c r="E114" s="86"/>
      <c r="F114" s="87"/>
      <c r="G114" s="88"/>
      <c r="H114" s="86"/>
      <c r="I114" s="87"/>
      <c r="J114" s="88"/>
      <c r="K114" s="86"/>
      <c r="L114" s="87"/>
      <c r="M114" s="88"/>
      <c r="N114" s="86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5.0" customHeight="1">
      <c r="A115" s="87"/>
      <c r="B115" s="87"/>
      <c r="C115" s="87"/>
      <c r="D115" s="88"/>
      <c r="E115" s="86"/>
      <c r="F115" s="87"/>
      <c r="G115" s="88"/>
      <c r="H115" s="86"/>
      <c r="I115" s="87"/>
      <c r="J115" s="88"/>
      <c r="K115" s="86"/>
      <c r="L115" s="87"/>
      <c r="M115" s="88"/>
      <c r="N115" s="86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5.0" customHeight="1">
      <c r="A116" s="87"/>
      <c r="B116" s="87"/>
      <c r="C116" s="87"/>
      <c r="D116" s="88"/>
      <c r="E116" s="86"/>
      <c r="F116" s="87"/>
      <c r="G116" s="88"/>
      <c r="H116" s="86"/>
      <c r="I116" s="87"/>
      <c r="J116" s="88"/>
      <c r="K116" s="86"/>
      <c r="L116" s="87"/>
      <c r="M116" s="88"/>
      <c r="N116" s="86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5.0" customHeight="1">
      <c r="A117" s="87"/>
      <c r="B117" s="87"/>
      <c r="C117" s="87"/>
      <c r="D117" s="88"/>
      <c r="E117" s="86"/>
      <c r="F117" s="87"/>
      <c r="G117" s="88"/>
      <c r="H117" s="86"/>
      <c r="I117" s="87"/>
      <c r="J117" s="88"/>
      <c r="K117" s="86"/>
      <c r="L117" s="87"/>
      <c r="M117" s="88"/>
      <c r="N117" s="86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5.0" customHeight="1">
      <c r="A118" s="87"/>
      <c r="B118" s="87"/>
      <c r="C118" s="87"/>
      <c r="D118" s="88"/>
      <c r="E118" s="86"/>
      <c r="F118" s="87"/>
      <c r="G118" s="88"/>
      <c r="H118" s="86"/>
      <c r="I118" s="87"/>
      <c r="J118" s="88"/>
      <c r="K118" s="86"/>
      <c r="L118" s="87"/>
      <c r="M118" s="88"/>
      <c r="N118" s="86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5.0" customHeight="1">
      <c r="A119" s="87"/>
      <c r="B119" s="87"/>
      <c r="C119" s="87"/>
      <c r="D119" s="88"/>
      <c r="E119" s="86"/>
      <c r="F119" s="87"/>
      <c r="G119" s="88"/>
      <c r="H119" s="86"/>
      <c r="I119" s="87"/>
      <c r="J119" s="88"/>
      <c r="K119" s="86"/>
      <c r="L119" s="87"/>
      <c r="M119" s="88"/>
      <c r="N119" s="86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5.0" customHeight="1">
      <c r="A120" s="87"/>
      <c r="B120" s="87"/>
      <c r="C120" s="87"/>
      <c r="D120" s="88"/>
      <c r="E120" s="86"/>
      <c r="F120" s="87"/>
      <c r="G120" s="88"/>
      <c r="H120" s="86"/>
      <c r="I120" s="87"/>
      <c r="J120" s="88"/>
      <c r="K120" s="86"/>
      <c r="L120" s="87"/>
      <c r="M120" s="88"/>
      <c r="N120" s="86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5.0" customHeight="1">
      <c r="A121" s="87"/>
      <c r="B121" s="87"/>
      <c r="C121" s="87"/>
      <c r="D121" s="88"/>
      <c r="E121" s="86"/>
      <c r="F121" s="87"/>
      <c r="G121" s="88"/>
      <c r="H121" s="86"/>
      <c r="I121" s="87"/>
      <c r="J121" s="88"/>
      <c r="K121" s="86"/>
      <c r="L121" s="87"/>
      <c r="M121" s="88"/>
      <c r="N121" s="86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6.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6.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6.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6.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6.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6.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6.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6.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6.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6.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6.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6.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6.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6.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6.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6.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6.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6.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6.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6.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6.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6.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6.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6.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6.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6.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6.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6.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6.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6.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6.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6.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6.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6.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6.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6.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6.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6.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6.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6.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6.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6.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6.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6.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6.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6.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6.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6.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6.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6.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6.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6.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6.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6.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6.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6.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6.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6.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6.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6.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6.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6.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6.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6.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6.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6.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6.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6.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6.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6.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6.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6.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6.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6.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6.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6.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6.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6.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6.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6.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6.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6.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6.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6.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6.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6.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6.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6.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6.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6.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6.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6.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6.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6.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6.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6.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6.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6.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6.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6.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6.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6.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6.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6.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6.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6.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6.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6.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6.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6.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6.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6.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6.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6.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6.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6.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6.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6.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6.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6.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6.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6.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6.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6.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6.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6.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6.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6.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6.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6.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6.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6.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6.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6.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6.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6.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6.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6.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6.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6.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6.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6.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6.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6.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6.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6.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6.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6.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6.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6.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6.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6.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6.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6.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6.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6.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6.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6.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6.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6.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6.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6.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6.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6.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6.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6.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6.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6.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6.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6.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6.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6.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6.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6.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6.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6.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6.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6.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6.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6.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6.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6.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16.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16.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16.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16.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16.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16.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16.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16.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16.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16.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16.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16.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16.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16.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16.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16.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16.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16.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16.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16.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16.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16.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16.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16.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16.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16.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16.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16.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16.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16.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16.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16.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16.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16.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16.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16.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16.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16.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16.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16.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16.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16.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16.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16.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16.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16.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16.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16.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16.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16.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16.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16.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16.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16.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16.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16.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16.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16.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16.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16.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16.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16.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16.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16.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16.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16.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16.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16.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16.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16.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16.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16.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16.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16.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16.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16.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16.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16.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16.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16.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16.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16.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16.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16.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16.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16.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16.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16.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16.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16.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16.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16.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16.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16.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16.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16.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16.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16.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16.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16.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16.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16.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16.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16.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16.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16.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16.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16.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16.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16.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16.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16.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16.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16.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16.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16.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16.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16.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16.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16.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16.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16.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16.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16.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16.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16.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16.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16.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16.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16.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16.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16.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16.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16.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16.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16.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16.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16.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16.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16.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16.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16.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16.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16.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16.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16.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16.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16.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16.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16.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16.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16.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16.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16.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16.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16.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16.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16.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16.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16.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16.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16.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16.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16.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16.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16.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16.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16.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16.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16.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16.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16.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16.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16.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16.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16.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16.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16.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16.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16.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ht="16.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ht="16.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ht="16.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ht="16.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ht="16.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ht="16.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ht="16.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ht="16.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ht="16.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ht="16.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ht="16.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ht="16.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ht="16.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ht="16.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ht="16.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ht="16.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ht="16.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ht="16.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ht="16.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ht="16.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ht="16.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ht="16.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ht="16.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ht="16.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ht="16.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ht="16.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ht="16.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ht="16.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ht="16.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ht="16.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ht="16.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ht="16.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ht="16.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ht="16.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ht="16.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ht="16.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ht="16.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ht="16.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ht="16.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ht="16.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ht="16.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ht="16.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ht="16.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ht="16.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ht="16.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6.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ht="16.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ht="16.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ht="16.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ht="16.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ht="16.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ht="16.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ht="16.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ht="16.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ht="16.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ht="16.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ht="16.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ht="16.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ht="16.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ht="16.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ht="16.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ht="16.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ht="16.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ht="16.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ht="16.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ht="16.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ht="16.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ht="16.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ht="16.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ht="16.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ht="16.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ht="16.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ht="16.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ht="16.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ht="16.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ht="16.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ht="16.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ht="16.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ht="16.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ht="16.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ht="16.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ht="16.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ht="16.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ht="16.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ht="16.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ht="16.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ht="16.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ht="16.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ht="16.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ht="16.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ht="16.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ht="16.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ht="16.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ht="16.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ht="16.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ht="16.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ht="16.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ht="16.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ht="16.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ht="16.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ht="16.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ht="16.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ht="16.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ht="16.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ht="16.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ht="16.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ht="16.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ht="16.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ht="16.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ht="16.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ht="16.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ht="16.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ht="16.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ht="16.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ht="16.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ht="16.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ht="16.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ht="16.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ht="16.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ht="16.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ht="16.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ht="16.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ht="16.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ht="16.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ht="16.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ht="16.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ht="16.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ht="16.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ht="16.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ht="16.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ht="16.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ht="16.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ht="16.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ht="16.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ht="16.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ht="16.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ht="16.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ht="16.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ht="16.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ht="16.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ht="16.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ht="16.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ht="16.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ht="16.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ht="16.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ht="16.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ht="16.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ht="16.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ht="16.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ht="16.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ht="16.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ht="16.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ht="16.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ht="16.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ht="16.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ht="16.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ht="16.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ht="16.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ht="16.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ht="16.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ht="16.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ht="16.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ht="16.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ht="16.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ht="16.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ht="16.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ht="16.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ht="16.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ht="16.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ht="16.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ht="16.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ht="16.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ht="16.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ht="16.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ht="16.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ht="16.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ht="16.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ht="16.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ht="16.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ht="16.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ht="16.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ht="16.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ht="16.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ht="16.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ht="16.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ht="16.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ht="16.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ht="16.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ht="16.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ht="16.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ht="16.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ht="16.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ht="16.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ht="16.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ht="16.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ht="16.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ht="16.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ht="16.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ht="16.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ht="16.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ht="16.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ht="16.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ht="16.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ht="16.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ht="16.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ht="16.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ht="16.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ht="16.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ht="16.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ht="16.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ht="16.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ht="16.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ht="16.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ht="16.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ht="16.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ht="16.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ht="16.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ht="16.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ht="16.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ht="16.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ht="16.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ht="16.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ht="16.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ht="16.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ht="16.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ht="16.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ht="16.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ht="16.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ht="16.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ht="16.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ht="16.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ht="16.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ht="16.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ht="16.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ht="16.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ht="16.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ht="16.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ht="16.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ht="16.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ht="16.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ht="16.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ht="16.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ht="16.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ht="16.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ht="16.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ht="16.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ht="16.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ht="16.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ht="16.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ht="16.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ht="16.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ht="16.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ht="16.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ht="16.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ht="16.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ht="16.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ht="16.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ht="16.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ht="16.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ht="16.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ht="16.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ht="16.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ht="16.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ht="16.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ht="16.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ht="16.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ht="16.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ht="16.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ht="16.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ht="16.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ht="16.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ht="16.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ht="16.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ht="16.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ht="16.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ht="16.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ht="16.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ht="16.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ht="16.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ht="16.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ht="16.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ht="16.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ht="16.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ht="16.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ht="16.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ht="16.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ht="16.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ht="16.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ht="16.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ht="16.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ht="16.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ht="16.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ht="16.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ht="16.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ht="16.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ht="16.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ht="16.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ht="16.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ht="16.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ht="16.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ht="16.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ht="16.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ht="16.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ht="16.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ht="16.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ht="16.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ht="16.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ht="16.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ht="16.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ht="16.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ht="16.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ht="16.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ht="16.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ht="16.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ht="16.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ht="16.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ht="16.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ht="16.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ht="16.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ht="16.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ht="16.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ht="16.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ht="16.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ht="16.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ht="16.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ht="16.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ht="16.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ht="16.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ht="16.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ht="16.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ht="16.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ht="16.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ht="16.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ht="16.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ht="16.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ht="16.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ht="16.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ht="16.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ht="16.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ht="16.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ht="16.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ht="16.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ht="16.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ht="16.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ht="16.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ht="16.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ht="16.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ht="16.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ht="16.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ht="16.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ht="16.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ht="16.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ht="16.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ht="16.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ht="16.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ht="16.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ht="16.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ht="16.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ht="16.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ht="16.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ht="16.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ht="16.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ht="16.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ht="16.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ht="16.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ht="16.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ht="16.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ht="16.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ht="16.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ht="16.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ht="16.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ht="16.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ht="16.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ht="16.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ht="16.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ht="16.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ht="16.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ht="16.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ht="16.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ht="16.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ht="16.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ht="16.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ht="16.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ht="16.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ht="16.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ht="16.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ht="16.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ht="16.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ht="16.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ht="16.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ht="16.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ht="16.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ht="16.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ht="16.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ht="16.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ht="16.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ht="16.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ht="16.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ht="16.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ht="16.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ht="16.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ht="16.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ht="16.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ht="16.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ht="16.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ht="16.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ht="16.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ht="16.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ht="16.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ht="16.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ht="16.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ht="16.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ht="16.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ht="16.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ht="16.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ht="16.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ht="16.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ht="16.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ht="16.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ht="16.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ht="16.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ht="16.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ht="16.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ht="16.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ht="16.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ht="16.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ht="16.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ht="16.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ht="16.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ht="16.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ht="16.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ht="16.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ht="16.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ht="16.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ht="16.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ht="16.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ht="16.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ht="16.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ht="16.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ht="16.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ht="16.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ht="16.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ht="16.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ht="16.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ht="16.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ht="16.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ht="16.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ht="16.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ht="16.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ht="16.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ht="16.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ht="16.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ht="16.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ht="16.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ht="16.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ht="16.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ht="16.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ht="16.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ht="16.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ht="16.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ht="16.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ht="16.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ht="16.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ht="16.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ht="16.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ht="16.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ht="16.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ht="16.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ht="16.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ht="16.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ht="16.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ht="16.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ht="16.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ht="16.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ht="16.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ht="16.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ht="16.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ht="16.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ht="16.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ht="16.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ht="16.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ht="16.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ht="16.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ht="16.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ht="16.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ht="16.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ht="16.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ht="16.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ht="16.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ht="16.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ht="16.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ht="16.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ht="16.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ht="16.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ht="16.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ht="16.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ht="16.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ht="16.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ht="16.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ht="16.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ht="16.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ht="16.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ht="16.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ht="16.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ht="16.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ht="16.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ht="16.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ht="16.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ht="16.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ht="16.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ht="16.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ht="16.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ht="16.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ht="16.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ht="16.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ht="16.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ht="16.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mergeCells count="7">
    <mergeCell ref="A1:N1"/>
    <mergeCell ref="A17:A19"/>
    <mergeCell ref="B17:D17"/>
    <mergeCell ref="E17:G17"/>
    <mergeCell ref="H17:J17"/>
    <mergeCell ref="K17:M17"/>
    <mergeCell ref="N17:N19"/>
  </mergeCells>
  <printOptions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13" width="5.29"/>
    <col customWidth="1" min="14" max="14" width="3.71"/>
    <col customWidth="1" min="15" max="16" width="0.86"/>
    <col customWidth="1" min="17" max="26" width="8.86"/>
  </cols>
  <sheetData>
    <row r="1" ht="19.5" customHeight="1">
      <c r="A1" s="15" t="s">
        <v>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  <c r="O1" s="18"/>
      <c r="P1" s="18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4.5" customHeight="1">
      <c r="A2" s="20"/>
      <c r="B2" s="21"/>
      <c r="C2" s="22"/>
      <c r="D2" s="22"/>
      <c r="E2" s="22"/>
      <c r="F2" s="23"/>
      <c r="G2" s="22"/>
      <c r="H2" s="21"/>
      <c r="I2" s="22"/>
      <c r="J2" s="22"/>
      <c r="K2" s="22"/>
      <c r="L2" s="23"/>
      <c r="M2" s="22"/>
      <c r="N2" s="24"/>
      <c r="O2" s="22"/>
      <c r="P2" s="22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5.0" customHeight="1">
      <c r="A3" s="25" t="str">
        <f>'S1-1,3 STRUT (3) 배면 좌'!A3</f>
        <v>현  장  명 : 용산구 한남동 383일대 근린생활시설 신축공사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7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15.0" customHeight="1">
      <c r="A4" s="25" t="s">
        <v>24</v>
      </c>
      <c r="B4" s="26"/>
      <c r="C4" s="26"/>
      <c r="D4" s="26"/>
      <c r="E4" s="26"/>
      <c r="F4" s="29"/>
      <c r="G4" s="26"/>
      <c r="H4" s="26"/>
      <c r="I4" s="26"/>
      <c r="J4" s="26"/>
      <c r="K4" s="26"/>
      <c r="L4" s="29"/>
      <c r="M4" s="26"/>
      <c r="N4" s="30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16.5" customHeight="1">
      <c r="A5" s="31"/>
      <c r="B5" s="32"/>
      <c r="C5" s="32"/>
      <c r="D5" s="32"/>
      <c r="E5" s="32"/>
      <c r="F5" s="33"/>
      <c r="G5" s="32"/>
      <c r="H5" s="32"/>
      <c r="I5" s="32"/>
      <c r="J5" s="32"/>
      <c r="K5" s="32"/>
      <c r="L5" s="33"/>
      <c r="M5" s="32"/>
      <c r="N5" s="34"/>
      <c r="O5" s="19"/>
      <c r="P5" s="19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6.5" customHeight="1">
      <c r="A6" s="35"/>
      <c r="B6" s="36"/>
      <c r="C6" s="36"/>
      <c r="D6" s="36"/>
      <c r="E6" s="36"/>
      <c r="F6" s="19"/>
      <c r="G6" s="36"/>
      <c r="H6" s="36"/>
      <c r="I6" s="36"/>
      <c r="J6" s="36"/>
      <c r="K6" s="36"/>
      <c r="L6" s="19"/>
      <c r="M6" s="36"/>
      <c r="N6" s="37"/>
      <c r="O6" s="19"/>
      <c r="P6" s="19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6.5" customHeight="1">
      <c r="A7" s="35"/>
      <c r="B7" s="36"/>
      <c r="C7" s="36"/>
      <c r="D7" s="36"/>
      <c r="E7" s="36"/>
      <c r="F7" s="19"/>
      <c r="G7" s="36"/>
      <c r="H7" s="36"/>
      <c r="I7" s="36"/>
      <c r="J7" s="36"/>
      <c r="K7" s="36"/>
      <c r="L7" s="19"/>
      <c r="M7" s="36"/>
      <c r="N7" s="37"/>
      <c r="O7" s="19"/>
      <c r="P7" s="19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16.5" customHeight="1">
      <c r="A8" s="35"/>
      <c r="B8" s="36"/>
      <c r="C8" s="36"/>
      <c r="D8" s="36"/>
      <c r="E8" s="36"/>
      <c r="F8" s="19"/>
      <c r="G8" s="36"/>
      <c r="H8" s="36"/>
      <c r="I8" s="36"/>
      <c r="J8" s="36"/>
      <c r="K8" s="36"/>
      <c r="L8" s="19"/>
      <c r="M8" s="36"/>
      <c r="N8" s="37"/>
      <c r="O8" s="19"/>
      <c r="P8" s="19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6.5" customHeight="1">
      <c r="A9" s="35"/>
      <c r="B9" s="36"/>
      <c r="C9" s="36"/>
      <c r="D9" s="36"/>
      <c r="E9" s="36"/>
      <c r="F9" s="19"/>
      <c r="G9" s="36"/>
      <c r="H9" s="36"/>
      <c r="I9" s="36"/>
      <c r="J9" s="36"/>
      <c r="K9" s="36"/>
      <c r="L9" s="19"/>
      <c r="M9" s="36"/>
      <c r="N9" s="37"/>
      <c r="O9" s="19"/>
      <c r="P9" s="19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6.5" customHeight="1">
      <c r="A10" s="35"/>
      <c r="B10" s="36"/>
      <c r="C10" s="36"/>
      <c r="D10" s="36"/>
      <c r="E10" s="36"/>
      <c r="F10" s="19"/>
      <c r="G10" s="36"/>
      <c r="H10" s="36"/>
      <c r="I10" s="36"/>
      <c r="J10" s="36"/>
      <c r="K10" s="36"/>
      <c r="L10" s="19"/>
      <c r="M10" s="36"/>
      <c r="N10" s="37"/>
      <c r="O10" s="19"/>
      <c r="P10" s="19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6.5" customHeight="1">
      <c r="A11" s="35"/>
      <c r="B11" s="36"/>
      <c r="C11" s="36"/>
      <c r="D11" s="36"/>
      <c r="E11" s="36"/>
      <c r="F11" s="19"/>
      <c r="G11" s="36"/>
      <c r="H11" s="36"/>
      <c r="I11" s="36"/>
      <c r="J11" s="36"/>
      <c r="K11" s="36"/>
      <c r="L11" s="19"/>
      <c r="M11" s="36"/>
      <c r="N11" s="37"/>
      <c r="O11" s="19"/>
      <c r="P11" s="19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6.5" customHeight="1">
      <c r="A12" s="35"/>
      <c r="B12" s="36"/>
      <c r="C12" s="36"/>
      <c r="D12" s="36"/>
      <c r="E12" s="36"/>
      <c r="F12" s="19"/>
      <c r="G12" s="36"/>
      <c r="H12" s="36"/>
      <c r="I12" s="36"/>
      <c r="J12" s="36"/>
      <c r="K12" s="36"/>
      <c r="L12" s="19"/>
      <c r="M12" s="36"/>
      <c r="N12" s="37"/>
      <c r="O12" s="19"/>
      <c r="P12" s="19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6.5" customHeight="1">
      <c r="A13" s="35"/>
      <c r="B13" s="36"/>
      <c r="C13" s="36"/>
      <c r="D13" s="36"/>
      <c r="E13" s="36"/>
      <c r="F13" s="19"/>
      <c r="G13" s="36"/>
      <c r="H13" s="36"/>
      <c r="I13" s="36"/>
      <c r="J13" s="36"/>
      <c r="K13" s="36"/>
      <c r="L13" s="19"/>
      <c r="M13" s="36"/>
      <c r="N13" s="37"/>
      <c r="O13" s="19"/>
      <c r="P13" s="19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6.5" customHeight="1">
      <c r="A14" s="35"/>
      <c r="B14" s="36"/>
      <c r="C14" s="36"/>
      <c r="D14" s="36"/>
      <c r="E14" s="36"/>
      <c r="F14" s="19"/>
      <c r="G14" s="36"/>
      <c r="H14" s="36"/>
      <c r="I14" s="36"/>
      <c r="J14" s="36"/>
      <c r="K14" s="36"/>
      <c r="L14" s="19"/>
      <c r="M14" s="36"/>
      <c r="N14" s="37"/>
      <c r="O14" s="19"/>
      <c r="P14" s="19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6.5" customHeight="1">
      <c r="A15" s="35"/>
      <c r="B15" s="36"/>
      <c r="C15" s="36"/>
      <c r="D15" s="36"/>
      <c r="E15" s="36"/>
      <c r="F15" s="19"/>
      <c r="G15" s="36"/>
      <c r="H15" s="36"/>
      <c r="I15" s="36"/>
      <c r="J15" s="36"/>
      <c r="K15" s="36"/>
      <c r="L15" s="19"/>
      <c r="M15" s="36"/>
      <c r="N15" s="37"/>
      <c r="O15" s="19"/>
      <c r="P15" s="19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6.5" customHeight="1">
      <c r="A16" s="38"/>
      <c r="B16" s="39"/>
      <c r="C16" s="39"/>
      <c r="D16" s="39"/>
      <c r="E16" s="39"/>
      <c r="F16" s="40"/>
      <c r="G16" s="39"/>
      <c r="H16" s="39"/>
      <c r="I16" s="39"/>
      <c r="J16" s="39"/>
      <c r="K16" s="39"/>
      <c r="L16" s="40"/>
      <c r="M16" s="39"/>
      <c r="N16" s="41"/>
      <c r="O16" s="19"/>
      <c r="P16" s="19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5.0" customHeight="1">
      <c r="A17" s="42" t="s">
        <v>7</v>
      </c>
      <c r="B17" s="43" t="s">
        <v>25</v>
      </c>
      <c r="C17" s="44"/>
      <c r="D17" s="45"/>
      <c r="E17" s="46" t="s">
        <v>9</v>
      </c>
      <c r="F17" s="44"/>
      <c r="G17" s="45"/>
      <c r="H17" s="46" t="s">
        <v>10</v>
      </c>
      <c r="I17" s="44"/>
      <c r="J17" s="45"/>
      <c r="K17" s="46" t="s">
        <v>11</v>
      </c>
      <c r="L17" s="44"/>
      <c r="M17" s="45"/>
      <c r="N17" s="47" t="s">
        <v>12</v>
      </c>
      <c r="O17" s="48"/>
      <c r="P17" s="4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5.0" customHeight="1">
      <c r="A18" s="49"/>
      <c r="B18" s="50" t="s">
        <v>13</v>
      </c>
      <c r="C18" s="50" t="s">
        <v>14</v>
      </c>
      <c r="D18" s="52" t="s">
        <v>15</v>
      </c>
      <c r="E18" s="50" t="s">
        <v>13</v>
      </c>
      <c r="F18" s="50" t="s">
        <v>14</v>
      </c>
      <c r="G18" s="52" t="s">
        <v>15</v>
      </c>
      <c r="H18" s="50" t="s">
        <v>13</v>
      </c>
      <c r="I18" s="50" t="s">
        <v>14</v>
      </c>
      <c r="J18" s="52" t="s">
        <v>15</v>
      </c>
      <c r="K18" s="50" t="s">
        <v>13</v>
      </c>
      <c r="L18" s="50" t="s">
        <v>14</v>
      </c>
      <c r="M18" s="52" t="s">
        <v>15</v>
      </c>
      <c r="N18" s="53"/>
      <c r="O18" s="48"/>
      <c r="P18" s="4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5.0" customHeight="1">
      <c r="A19" s="54"/>
      <c r="B19" s="55" t="s">
        <v>26</v>
      </c>
      <c r="C19" s="55" t="s">
        <v>27</v>
      </c>
      <c r="D19" s="58" t="s">
        <v>28</v>
      </c>
      <c r="E19" s="55" t="s">
        <v>26</v>
      </c>
      <c r="F19" s="55" t="s">
        <v>27</v>
      </c>
      <c r="G19" s="58" t="s">
        <v>28</v>
      </c>
      <c r="H19" s="55" t="s">
        <v>26</v>
      </c>
      <c r="I19" s="55" t="s">
        <v>27</v>
      </c>
      <c r="J19" s="58" t="s">
        <v>28</v>
      </c>
      <c r="K19" s="55" t="s">
        <v>26</v>
      </c>
      <c r="L19" s="55" t="s">
        <v>27</v>
      </c>
      <c r="M19" s="58" t="s">
        <v>28</v>
      </c>
      <c r="N19" s="59"/>
      <c r="O19" s="60"/>
      <c r="P19" s="60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5.0" customHeight="1">
      <c r="A20" s="61">
        <v>45926.0</v>
      </c>
      <c r="B20" s="62">
        <v>2849.0</v>
      </c>
      <c r="C20" s="62"/>
      <c r="D20" s="63"/>
      <c r="E20" s="64">
        <f t="shared" ref="E20:E28" si="1">(B20-$B$20)*2.1</f>
        <v>0</v>
      </c>
      <c r="F20" s="74"/>
      <c r="G20" s="66"/>
      <c r="H20" s="64">
        <f t="shared" ref="H20:H28" si="2">E20*0.0980665</f>
        <v>0</v>
      </c>
      <c r="I20" s="74"/>
      <c r="J20" s="67"/>
      <c r="K20" s="64">
        <f t="shared" ref="K20:K28" si="3">(E20*119.8)/1000</f>
        <v>0</v>
      </c>
      <c r="L20" s="65"/>
      <c r="M20" s="67"/>
      <c r="N20" s="68"/>
      <c r="O20" s="69"/>
      <c r="P20" s="69"/>
      <c r="Q20" s="70" t="s">
        <v>29</v>
      </c>
      <c r="R20" s="70"/>
      <c r="S20" s="70"/>
      <c r="T20" s="70"/>
      <c r="U20" s="70"/>
      <c r="V20" s="70"/>
      <c r="W20" s="70"/>
      <c r="X20" s="70"/>
      <c r="Y20" s="70"/>
      <c r="Z20" s="70"/>
    </row>
    <row r="21" ht="15.0" customHeight="1">
      <c r="A21" s="61">
        <v>45930.0</v>
      </c>
      <c r="B21" s="62">
        <v>2844.0</v>
      </c>
      <c r="C21" s="62"/>
      <c r="D21" s="63"/>
      <c r="E21" s="64">
        <f t="shared" si="1"/>
        <v>-10.5</v>
      </c>
      <c r="F21" s="74"/>
      <c r="G21" s="66"/>
      <c r="H21" s="64">
        <f t="shared" si="2"/>
        <v>-1.02969825</v>
      </c>
      <c r="I21" s="74"/>
      <c r="J21" s="67"/>
      <c r="K21" s="64">
        <f t="shared" si="3"/>
        <v>-1.2579</v>
      </c>
      <c r="L21" s="65"/>
      <c r="M21" s="67"/>
      <c r="N21" s="68"/>
      <c r="O21" s="69"/>
      <c r="P21" s="69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 ht="15.0" customHeight="1">
      <c r="A22" s="61">
        <v>45932.0</v>
      </c>
      <c r="B22" s="62">
        <v>2838.0</v>
      </c>
      <c r="C22" s="62"/>
      <c r="D22" s="63"/>
      <c r="E22" s="64">
        <f t="shared" si="1"/>
        <v>-23.1</v>
      </c>
      <c r="F22" s="74"/>
      <c r="G22" s="66"/>
      <c r="H22" s="64">
        <f t="shared" si="2"/>
        <v>-2.26533615</v>
      </c>
      <c r="I22" s="74"/>
      <c r="J22" s="67"/>
      <c r="K22" s="64">
        <f t="shared" si="3"/>
        <v>-2.76738</v>
      </c>
      <c r="L22" s="65"/>
      <c r="M22" s="67"/>
      <c r="N22" s="68"/>
      <c r="O22" s="69"/>
      <c r="P22" s="69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 ht="15.0" customHeight="1">
      <c r="A23" s="61">
        <v>45944.0</v>
      </c>
      <c r="B23" s="62">
        <v>2841.0</v>
      </c>
      <c r="C23" s="62">
        <v>2816.0</v>
      </c>
      <c r="D23" s="63"/>
      <c r="E23" s="64">
        <f t="shared" si="1"/>
        <v>-16.8</v>
      </c>
      <c r="F23" s="74">
        <f t="shared" ref="F23:F28" si="4">(C23-$C$23)*2.1</f>
        <v>0</v>
      </c>
      <c r="G23" s="66"/>
      <c r="H23" s="64">
        <f t="shared" si="2"/>
        <v>-1.6475172</v>
      </c>
      <c r="I23" s="74">
        <f t="shared" ref="I23:I28" si="5">F23*0.0980665</f>
        <v>0</v>
      </c>
      <c r="J23" s="67"/>
      <c r="K23" s="64">
        <f t="shared" si="3"/>
        <v>-2.01264</v>
      </c>
      <c r="L23" s="65">
        <f t="shared" ref="L23:L28" si="6">(F23*119.8)/1000</f>
        <v>0</v>
      </c>
      <c r="M23" s="67"/>
      <c r="N23" s="68"/>
      <c r="O23" s="69"/>
      <c r="P23" s="69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 ht="15.0" customHeight="1">
      <c r="A24" s="61">
        <v>45946.0</v>
      </c>
      <c r="B24" s="62">
        <v>2837.0</v>
      </c>
      <c r="C24" s="62">
        <v>2820.0</v>
      </c>
      <c r="D24" s="63"/>
      <c r="E24" s="64">
        <f t="shared" si="1"/>
        <v>-25.2</v>
      </c>
      <c r="F24" s="74">
        <f t="shared" si="4"/>
        <v>8.4</v>
      </c>
      <c r="G24" s="66"/>
      <c r="H24" s="64">
        <f t="shared" si="2"/>
        <v>-2.4712758</v>
      </c>
      <c r="I24" s="74">
        <f t="shared" si="5"/>
        <v>0.8237586</v>
      </c>
      <c r="J24" s="67"/>
      <c r="K24" s="64">
        <f t="shared" si="3"/>
        <v>-3.01896</v>
      </c>
      <c r="L24" s="65">
        <f t="shared" si="6"/>
        <v>1.00632</v>
      </c>
      <c r="M24" s="67"/>
      <c r="N24" s="68"/>
      <c r="O24" s="69"/>
      <c r="P24" s="69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 ht="15.0" customHeight="1">
      <c r="A25" s="61">
        <v>45953.0</v>
      </c>
      <c r="B25" s="62">
        <v>2839.0</v>
      </c>
      <c r="C25" s="62">
        <v>2822.0</v>
      </c>
      <c r="D25" s="63">
        <v>2735.0</v>
      </c>
      <c r="E25" s="64">
        <f t="shared" si="1"/>
        <v>-21</v>
      </c>
      <c r="F25" s="74">
        <f t="shared" si="4"/>
        <v>12.6</v>
      </c>
      <c r="G25" s="66">
        <f t="shared" ref="G25:G28" si="7">(D25-$D$25)*2.1</f>
        <v>0</v>
      </c>
      <c r="H25" s="64">
        <f t="shared" si="2"/>
        <v>-2.0593965</v>
      </c>
      <c r="I25" s="74">
        <f t="shared" si="5"/>
        <v>1.2356379</v>
      </c>
      <c r="J25" s="67">
        <f t="shared" ref="J25:J28" si="8">G25*0.0980665</f>
        <v>0</v>
      </c>
      <c r="K25" s="64">
        <f t="shared" si="3"/>
        <v>-2.5158</v>
      </c>
      <c r="L25" s="65">
        <f t="shared" si="6"/>
        <v>1.50948</v>
      </c>
      <c r="M25" s="67">
        <f t="shared" ref="M25:M28" si="9">(G25*119.8)/1000</f>
        <v>0</v>
      </c>
      <c r="N25" s="71"/>
      <c r="O25" s="72"/>
      <c r="P25" s="72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 ht="15.0" customHeight="1">
      <c r="A26" s="61">
        <v>45959.0</v>
      </c>
      <c r="B26" s="62">
        <v>2841.0</v>
      </c>
      <c r="C26" s="62">
        <v>2820.0</v>
      </c>
      <c r="D26" s="63">
        <v>2736.0</v>
      </c>
      <c r="E26" s="64">
        <f t="shared" si="1"/>
        <v>-16.8</v>
      </c>
      <c r="F26" s="74">
        <f t="shared" si="4"/>
        <v>8.4</v>
      </c>
      <c r="G26" s="66">
        <f t="shared" si="7"/>
        <v>2.1</v>
      </c>
      <c r="H26" s="64">
        <f t="shared" si="2"/>
        <v>-1.6475172</v>
      </c>
      <c r="I26" s="74">
        <f t="shared" si="5"/>
        <v>0.8237586</v>
      </c>
      <c r="J26" s="67">
        <f t="shared" si="8"/>
        <v>0.20593965</v>
      </c>
      <c r="K26" s="64">
        <f t="shared" si="3"/>
        <v>-2.01264</v>
      </c>
      <c r="L26" s="65">
        <f t="shared" si="6"/>
        <v>1.00632</v>
      </c>
      <c r="M26" s="67">
        <f t="shared" si="9"/>
        <v>0.25158</v>
      </c>
      <c r="N26" s="71"/>
      <c r="O26" s="72"/>
      <c r="P26" s="72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ht="15.0" customHeight="1">
      <c r="A27" s="61">
        <v>45966.0</v>
      </c>
      <c r="B27" s="62">
        <v>2852.0</v>
      </c>
      <c r="C27" s="62">
        <v>2806.0</v>
      </c>
      <c r="D27" s="62">
        <v>2724.0</v>
      </c>
      <c r="E27" s="64">
        <f t="shared" si="1"/>
        <v>6.3</v>
      </c>
      <c r="F27" s="74">
        <f t="shared" si="4"/>
        <v>-21</v>
      </c>
      <c r="G27" s="66">
        <f t="shared" si="7"/>
        <v>-23.1</v>
      </c>
      <c r="H27" s="64">
        <f t="shared" si="2"/>
        <v>0.61781895</v>
      </c>
      <c r="I27" s="74">
        <f t="shared" si="5"/>
        <v>-2.0593965</v>
      </c>
      <c r="J27" s="67">
        <f t="shared" si="8"/>
        <v>-2.26533615</v>
      </c>
      <c r="K27" s="64">
        <f t="shared" si="3"/>
        <v>0.75474</v>
      </c>
      <c r="L27" s="65">
        <f t="shared" si="6"/>
        <v>-2.5158</v>
      </c>
      <c r="M27" s="67">
        <f t="shared" si="9"/>
        <v>-2.76738</v>
      </c>
      <c r="N27" s="71"/>
      <c r="O27" s="72"/>
      <c r="P27" s="72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ht="15.0" customHeight="1">
      <c r="A28" s="61">
        <v>45971.0</v>
      </c>
      <c r="B28" s="62">
        <v>2842.0</v>
      </c>
      <c r="C28" s="62">
        <v>2805.0</v>
      </c>
      <c r="D28" s="62">
        <v>2739.0</v>
      </c>
      <c r="E28" s="64">
        <f t="shared" si="1"/>
        <v>-14.7</v>
      </c>
      <c r="F28" s="74">
        <f t="shared" si="4"/>
        <v>-23.1</v>
      </c>
      <c r="G28" s="66">
        <f t="shared" si="7"/>
        <v>8.4</v>
      </c>
      <c r="H28" s="64">
        <f t="shared" si="2"/>
        <v>-1.44157755</v>
      </c>
      <c r="I28" s="74">
        <f t="shared" si="5"/>
        <v>-2.26533615</v>
      </c>
      <c r="J28" s="67">
        <f t="shared" si="8"/>
        <v>0.8237586</v>
      </c>
      <c r="K28" s="64">
        <f t="shared" si="3"/>
        <v>-1.76106</v>
      </c>
      <c r="L28" s="65">
        <f t="shared" si="6"/>
        <v>-2.76738</v>
      </c>
      <c r="M28" s="67">
        <f t="shared" si="9"/>
        <v>1.00632</v>
      </c>
      <c r="N28" s="71"/>
      <c r="O28" s="72"/>
      <c r="P28" s="72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 ht="15.0" customHeight="1">
      <c r="A29" s="61"/>
      <c r="B29" s="62"/>
      <c r="C29" s="62"/>
      <c r="D29" s="63"/>
      <c r="E29" s="64"/>
      <c r="F29" s="65"/>
      <c r="G29" s="65"/>
      <c r="H29" s="64"/>
      <c r="I29" s="65"/>
      <c r="J29" s="67"/>
      <c r="K29" s="64"/>
      <c r="L29" s="65"/>
      <c r="M29" s="67"/>
      <c r="N29" s="76"/>
      <c r="O29" s="72"/>
      <c r="P29" s="72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 ht="15.0" customHeight="1">
      <c r="A30" s="61"/>
      <c r="B30" s="62"/>
      <c r="C30" s="62"/>
      <c r="D30" s="63"/>
      <c r="E30" s="64"/>
      <c r="F30" s="65"/>
      <c r="G30" s="65"/>
      <c r="H30" s="64"/>
      <c r="I30" s="65"/>
      <c r="J30" s="67"/>
      <c r="K30" s="64"/>
      <c r="L30" s="65"/>
      <c r="M30" s="67"/>
      <c r="N30" s="71"/>
      <c r="O30" s="72"/>
      <c r="P30" s="72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 ht="15.0" customHeight="1">
      <c r="A31" s="61"/>
      <c r="B31" s="62"/>
      <c r="C31" s="62"/>
      <c r="D31" s="63"/>
      <c r="E31" s="64"/>
      <c r="F31" s="65"/>
      <c r="G31" s="65"/>
      <c r="H31" s="64"/>
      <c r="I31" s="65"/>
      <c r="J31" s="67"/>
      <c r="K31" s="64"/>
      <c r="L31" s="65"/>
      <c r="M31" s="67"/>
      <c r="N31" s="71"/>
      <c r="O31" s="72"/>
      <c r="P31" s="72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 ht="15.0" customHeight="1">
      <c r="A32" s="61"/>
      <c r="B32" s="62"/>
      <c r="C32" s="62"/>
      <c r="D32" s="63"/>
      <c r="E32" s="64"/>
      <c r="F32" s="65"/>
      <c r="G32" s="65"/>
      <c r="H32" s="64"/>
      <c r="I32" s="74"/>
      <c r="J32" s="75"/>
      <c r="K32" s="64"/>
      <c r="L32" s="75"/>
      <c r="M32" s="67"/>
      <c r="N32" s="76"/>
      <c r="O32" s="72"/>
      <c r="P32" s="72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ht="15.0" customHeight="1">
      <c r="A33" s="77"/>
      <c r="B33" s="78"/>
      <c r="C33" s="78"/>
      <c r="D33" s="78"/>
      <c r="E33" s="79"/>
      <c r="F33" s="80"/>
      <c r="G33" s="81"/>
      <c r="H33" s="79"/>
      <c r="I33" s="80"/>
      <c r="J33" s="82"/>
      <c r="K33" s="79"/>
      <c r="L33" s="83"/>
      <c r="M33" s="82"/>
      <c r="N33" s="71"/>
      <c r="O33" s="72"/>
      <c r="P33" s="72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 ht="15.0" customHeight="1">
      <c r="A34" s="77"/>
      <c r="B34" s="78"/>
      <c r="C34" s="78"/>
      <c r="D34" s="78"/>
      <c r="E34" s="79"/>
      <c r="F34" s="80"/>
      <c r="G34" s="81"/>
      <c r="H34" s="79"/>
      <c r="I34" s="80"/>
      <c r="J34" s="82"/>
      <c r="K34" s="79"/>
      <c r="L34" s="83"/>
      <c r="M34" s="82"/>
      <c r="N34" s="71"/>
      <c r="O34" s="72"/>
      <c r="P34" s="72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 ht="15.0" customHeight="1">
      <c r="A35" s="77"/>
      <c r="B35" s="78"/>
      <c r="C35" s="78"/>
      <c r="D35" s="78"/>
      <c r="E35" s="79"/>
      <c r="F35" s="80"/>
      <c r="G35" s="81"/>
      <c r="H35" s="79"/>
      <c r="I35" s="80"/>
      <c r="J35" s="82"/>
      <c r="K35" s="79"/>
      <c r="L35" s="83"/>
      <c r="M35" s="82"/>
      <c r="N35" s="71"/>
      <c r="O35" s="72"/>
      <c r="P35" s="72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 ht="15.0" customHeight="1">
      <c r="A36" s="77"/>
      <c r="B36" s="78"/>
      <c r="C36" s="78"/>
      <c r="D36" s="78"/>
      <c r="E36" s="79"/>
      <c r="F36" s="80"/>
      <c r="G36" s="81"/>
      <c r="H36" s="79"/>
      <c r="I36" s="80"/>
      <c r="J36" s="82"/>
      <c r="K36" s="79"/>
      <c r="L36" s="83"/>
      <c r="M36" s="82"/>
      <c r="N36" s="71"/>
      <c r="O36" s="72"/>
      <c r="P36" s="72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 ht="15.0" customHeight="1">
      <c r="A37" s="77"/>
      <c r="B37" s="78"/>
      <c r="C37" s="78"/>
      <c r="D37" s="78"/>
      <c r="E37" s="79"/>
      <c r="F37" s="80"/>
      <c r="G37" s="81"/>
      <c r="H37" s="79"/>
      <c r="I37" s="80"/>
      <c r="J37" s="82"/>
      <c r="K37" s="79"/>
      <c r="L37" s="83"/>
      <c r="M37" s="82"/>
      <c r="N37" s="71"/>
      <c r="O37" s="72"/>
      <c r="P37" s="72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ht="15.0" customHeight="1">
      <c r="A38" s="77"/>
      <c r="B38" s="78"/>
      <c r="C38" s="78"/>
      <c r="D38" s="78"/>
      <c r="E38" s="79"/>
      <c r="F38" s="80"/>
      <c r="G38" s="81"/>
      <c r="H38" s="79"/>
      <c r="I38" s="80"/>
      <c r="J38" s="82"/>
      <c r="K38" s="79"/>
      <c r="L38" s="83"/>
      <c r="M38" s="82"/>
      <c r="N38" s="71"/>
      <c r="O38" s="72"/>
      <c r="P38" s="72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ht="15.0" customHeight="1">
      <c r="A39" s="77"/>
      <c r="B39" s="78"/>
      <c r="C39" s="78"/>
      <c r="D39" s="78"/>
      <c r="E39" s="79"/>
      <c r="F39" s="80"/>
      <c r="G39" s="81"/>
      <c r="H39" s="79"/>
      <c r="I39" s="80"/>
      <c r="J39" s="82"/>
      <c r="K39" s="79"/>
      <c r="L39" s="83"/>
      <c r="M39" s="82"/>
      <c r="N39" s="71"/>
      <c r="O39" s="72"/>
      <c r="P39" s="72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 ht="15.0" customHeight="1">
      <c r="A40" s="77"/>
      <c r="B40" s="78"/>
      <c r="C40" s="78"/>
      <c r="D40" s="78"/>
      <c r="E40" s="79"/>
      <c r="F40" s="80"/>
      <c r="G40" s="81"/>
      <c r="H40" s="79"/>
      <c r="I40" s="80"/>
      <c r="J40" s="82"/>
      <c r="K40" s="79"/>
      <c r="L40" s="83"/>
      <c r="M40" s="82"/>
      <c r="N40" s="71"/>
      <c r="O40" s="72"/>
      <c r="P40" s="72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ht="15.0" customHeight="1">
      <c r="A41" s="77"/>
      <c r="B41" s="78"/>
      <c r="C41" s="78"/>
      <c r="D41" s="78"/>
      <c r="E41" s="79"/>
      <c r="F41" s="80"/>
      <c r="G41" s="81"/>
      <c r="H41" s="79"/>
      <c r="I41" s="80"/>
      <c r="J41" s="82"/>
      <c r="K41" s="79"/>
      <c r="L41" s="83"/>
      <c r="M41" s="82"/>
      <c r="N41" s="71"/>
      <c r="O41" s="72"/>
      <c r="P41" s="72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 ht="15.0" customHeight="1">
      <c r="A42" s="77"/>
      <c r="B42" s="78"/>
      <c r="C42" s="78"/>
      <c r="D42" s="78"/>
      <c r="E42" s="79"/>
      <c r="F42" s="80"/>
      <c r="G42" s="81"/>
      <c r="H42" s="79"/>
      <c r="I42" s="80"/>
      <c r="J42" s="82"/>
      <c r="K42" s="79"/>
      <c r="L42" s="83"/>
      <c r="M42" s="82"/>
      <c r="N42" s="71"/>
      <c r="O42" s="72"/>
      <c r="P42" s="72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 ht="15.0" customHeight="1">
      <c r="A43" s="77"/>
      <c r="B43" s="78"/>
      <c r="C43" s="78"/>
      <c r="D43" s="78"/>
      <c r="E43" s="79"/>
      <c r="F43" s="80"/>
      <c r="G43" s="81"/>
      <c r="H43" s="79"/>
      <c r="I43" s="80"/>
      <c r="J43" s="82"/>
      <c r="K43" s="79"/>
      <c r="L43" s="83"/>
      <c r="M43" s="82"/>
      <c r="N43" s="71"/>
      <c r="O43" s="72"/>
      <c r="P43" s="72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ht="15.0" customHeight="1">
      <c r="A44" s="77"/>
      <c r="B44" s="78"/>
      <c r="C44" s="78"/>
      <c r="D44" s="78"/>
      <c r="E44" s="79"/>
      <c r="F44" s="80"/>
      <c r="G44" s="81"/>
      <c r="H44" s="79"/>
      <c r="I44" s="80"/>
      <c r="J44" s="82"/>
      <c r="K44" s="79"/>
      <c r="L44" s="83"/>
      <c r="M44" s="82"/>
      <c r="N44" s="71"/>
      <c r="O44" s="72"/>
      <c r="P44" s="72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ht="15.0" customHeight="1">
      <c r="A45" s="77"/>
      <c r="B45" s="78"/>
      <c r="C45" s="78"/>
      <c r="D45" s="78"/>
      <c r="E45" s="79"/>
      <c r="F45" s="80"/>
      <c r="G45" s="81"/>
      <c r="H45" s="79"/>
      <c r="I45" s="80"/>
      <c r="J45" s="82"/>
      <c r="K45" s="79"/>
      <c r="L45" s="83"/>
      <c r="M45" s="82"/>
      <c r="N45" s="71"/>
      <c r="O45" s="72"/>
      <c r="P45" s="72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ht="15.0" customHeight="1">
      <c r="A46" s="77"/>
      <c r="B46" s="78"/>
      <c r="C46" s="78"/>
      <c r="D46" s="78"/>
      <c r="E46" s="79"/>
      <c r="F46" s="80"/>
      <c r="G46" s="81"/>
      <c r="H46" s="79"/>
      <c r="I46" s="80"/>
      <c r="J46" s="82"/>
      <c r="K46" s="79"/>
      <c r="L46" s="83"/>
      <c r="M46" s="82"/>
      <c r="N46" s="71"/>
      <c r="O46" s="72"/>
      <c r="P46" s="72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ht="15.0" customHeight="1">
      <c r="A47" s="77"/>
      <c r="B47" s="78"/>
      <c r="C47" s="78"/>
      <c r="D47" s="78"/>
      <c r="E47" s="79"/>
      <c r="F47" s="80"/>
      <c r="G47" s="81"/>
      <c r="H47" s="79"/>
      <c r="I47" s="80"/>
      <c r="J47" s="82"/>
      <c r="K47" s="79"/>
      <c r="L47" s="83"/>
      <c r="M47" s="82"/>
      <c r="N47" s="71"/>
      <c r="O47" s="72"/>
      <c r="P47" s="72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 ht="15.0" customHeight="1">
      <c r="A48" s="77"/>
      <c r="B48" s="78"/>
      <c r="C48" s="78"/>
      <c r="D48" s="78"/>
      <c r="E48" s="79"/>
      <c r="F48" s="80"/>
      <c r="G48" s="81"/>
      <c r="H48" s="79"/>
      <c r="I48" s="80"/>
      <c r="J48" s="82"/>
      <c r="K48" s="79"/>
      <c r="L48" s="83"/>
      <c r="M48" s="82"/>
      <c r="N48" s="71"/>
      <c r="O48" s="72"/>
      <c r="P48" s="72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 ht="15.0" customHeight="1">
      <c r="A49" s="77"/>
      <c r="B49" s="78"/>
      <c r="C49" s="78"/>
      <c r="D49" s="78"/>
      <c r="E49" s="79"/>
      <c r="F49" s="80"/>
      <c r="G49" s="81"/>
      <c r="H49" s="79"/>
      <c r="I49" s="80"/>
      <c r="J49" s="82"/>
      <c r="K49" s="79"/>
      <c r="L49" s="83"/>
      <c r="M49" s="82"/>
      <c r="N49" s="71"/>
      <c r="O49" s="72"/>
      <c r="P49" s="72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 ht="15.0" customHeight="1">
      <c r="A50" s="77"/>
      <c r="B50" s="78"/>
      <c r="C50" s="78"/>
      <c r="D50" s="78"/>
      <c r="E50" s="79"/>
      <c r="F50" s="80"/>
      <c r="G50" s="81"/>
      <c r="H50" s="79"/>
      <c r="I50" s="80"/>
      <c r="J50" s="82"/>
      <c r="K50" s="79"/>
      <c r="L50" s="83"/>
      <c r="M50" s="82"/>
      <c r="N50" s="71"/>
      <c r="O50" s="72"/>
      <c r="P50" s="72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ht="15.0" customHeight="1">
      <c r="A51" s="77"/>
      <c r="B51" s="78"/>
      <c r="C51" s="78"/>
      <c r="D51" s="78"/>
      <c r="E51" s="79"/>
      <c r="F51" s="80"/>
      <c r="G51" s="81"/>
      <c r="H51" s="79"/>
      <c r="I51" s="80"/>
      <c r="J51" s="82"/>
      <c r="K51" s="79"/>
      <c r="L51" s="83"/>
      <c r="M51" s="82"/>
      <c r="N51" s="71"/>
      <c r="O51" s="72"/>
      <c r="P51" s="72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 ht="15.0" customHeight="1">
      <c r="A52" s="77"/>
      <c r="B52" s="78"/>
      <c r="C52" s="78"/>
      <c r="D52" s="78"/>
      <c r="E52" s="79"/>
      <c r="F52" s="80"/>
      <c r="G52" s="81"/>
      <c r="H52" s="79"/>
      <c r="I52" s="80"/>
      <c r="J52" s="82"/>
      <c r="K52" s="79"/>
      <c r="L52" s="83"/>
      <c r="M52" s="82"/>
      <c r="N52" s="71"/>
      <c r="O52" s="72"/>
      <c r="P52" s="72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ht="15.0" customHeight="1">
      <c r="A53" s="77"/>
      <c r="B53" s="78"/>
      <c r="C53" s="78"/>
      <c r="D53" s="78"/>
      <c r="E53" s="79"/>
      <c r="F53" s="80"/>
      <c r="G53" s="81"/>
      <c r="H53" s="79"/>
      <c r="I53" s="80"/>
      <c r="J53" s="82"/>
      <c r="K53" s="79"/>
      <c r="L53" s="83"/>
      <c r="M53" s="82"/>
      <c r="N53" s="71"/>
      <c r="O53" s="72"/>
      <c r="P53" s="72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ht="15.0" customHeight="1">
      <c r="A54" s="77"/>
      <c r="B54" s="78"/>
      <c r="C54" s="78"/>
      <c r="D54" s="78"/>
      <c r="E54" s="79"/>
      <c r="F54" s="80"/>
      <c r="G54" s="81"/>
      <c r="H54" s="79"/>
      <c r="I54" s="80"/>
      <c r="J54" s="82"/>
      <c r="K54" s="79"/>
      <c r="L54" s="83"/>
      <c r="M54" s="82"/>
      <c r="N54" s="71"/>
      <c r="O54" s="72"/>
      <c r="P54" s="72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ht="15.0" customHeight="1">
      <c r="A55" s="77"/>
      <c r="B55" s="78"/>
      <c r="C55" s="78"/>
      <c r="D55" s="78"/>
      <c r="E55" s="79"/>
      <c r="F55" s="80"/>
      <c r="G55" s="81"/>
      <c r="H55" s="79"/>
      <c r="I55" s="80"/>
      <c r="J55" s="82"/>
      <c r="K55" s="79"/>
      <c r="L55" s="83"/>
      <c r="M55" s="82"/>
      <c r="N55" s="71"/>
      <c r="O55" s="72"/>
      <c r="P55" s="72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 ht="15.0" customHeight="1">
      <c r="A56" s="77"/>
      <c r="B56" s="78"/>
      <c r="C56" s="78"/>
      <c r="D56" s="78"/>
      <c r="E56" s="79"/>
      <c r="F56" s="80"/>
      <c r="G56" s="81"/>
      <c r="H56" s="79"/>
      <c r="I56" s="80"/>
      <c r="J56" s="82"/>
      <c r="K56" s="79"/>
      <c r="L56" s="83"/>
      <c r="M56" s="82"/>
      <c r="N56" s="71"/>
      <c r="O56" s="72"/>
      <c r="P56" s="72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 ht="15.0" customHeight="1">
      <c r="A57" s="77"/>
      <c r="B57" s="78"/>
      <c r="C57" s="78"/>
      <c r="D57" s="78"/>
      <c r="E57" s="79"/>
      <c r="F57" s="80"/>
      <c r="G57" s="81"/>
      <c r="H57" s="79"/>
      <c r="I57" s="80"/>
      <c r="J57" s="82"/>
      <c r="K57" s="79"/>
      <c r="L57" s="83"/>
      <c r="M57" s="82"/>
      <c r="N57" s="71"/>
      <c r="O57" s="72"/>
      <c r="P57" s="72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ht="15.0" customHeight="1">
      <c r="A58" s="77"/>
      <c r="B58" s="78"/>
      <c r="C58" s="78"/>
      <c r="D58" s="78"/>
      <c r="E58" s="79"/>
      <c r="F58" s="80"/>
      <c r="G58" s="81"/>
      <c r="H58" s="79"/>
      <c r="I58" s="80"/>
      <c r="J58" s="82"/>
      <c r="K58" s="79"/>
      <c r="L58" s="83"/>
      <c r="M58" s="82"/>
      <c r="N58" s="71"/>
      <c r="O58" s="72"/>
      <c r="P58" s="72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ht="15.0" customHeight="1">
      <c r="A59" s="77"/>
      <c r="B59" s="78"/>
      <c r="C59" s="78"/>
      <c r="D59" s="78"/>
      <c r="E59" s="79"/>
      <c r="F59" s="80"/>
      <c r="G59" s="81"/>
      <c r="H59" s="79"/>
      <c r="I59" s="80"/>
      <c r="J59" s="82"/>
      <c r="K59" s="79"/>
      <c r="L59" s="83"/>
      <c r="M59" s="82"/>
      <c r="N59" s="71"/>
      <c r="O59" s="72"/>
      <c r="P59" s="72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ht="15.0" customHeight="1">
      <c r="A60" s="77"/>
      <c r="B60" s="78"/>
      <c r="C60" s="78"/>
      <c r="D60" s="78"/>
      <c r="E60" s="79"/>
      <c r="F60" s="80"/>
      <c r="G60" s="81"/>
      <c r="H60" s="79"/>
      <c r="I60" s="80"/>
      <c r="J60" s="82"/>
      <c r="K60" s="79"/>
      <c r="L60" s="83"/>
      <c r="M60" s="82"/>
      <c r="N60" s="71"/>
      <c r="O60" s="72"/>
      <c r="P60" s="72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ht="15.0" customHeight="1">
      <c r="A61" s="77"/>
      <c r="B61" s="78"/>
      <c r="C61" s="78"/>
      <c r="D61" s="78"/>
      <c r="E61" s="79"/>
      <c r="F61" s="80"/>
      <c r="G61" s="81"/>
      <c r="H61" s="79"/>
      <c r="I61" s="80"/>
      <c r="J61" s="82"/>
      <c r="K61" s="79"/>
      <c r="L61" s="83"/>
      <c r="M61" s="82"/>
      <c r="N61" s="71"/>
      <c r="O61" s="72"/>
      <c r="P61" s="72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ht="15.0" customHeight="1">
      <c r="A62" s="77"/>
      <c r="B62" s="78"/>
      <c r="C62" s="78"/>
      <c r="D62" s="78"/>
      <c r="E62" s="79"/>
      <c r="F62" s="80"/>
      <c r="G62" s="81"/>
      <c r="H62" s="79"/>
      <c r="I62" s="80"/>
      <c r="J62" s="82"/>
      <c r="K62" s="79"/>
      <c r="L62" s="83"/>
      <c r="M62" s="82"/>
      <c r="N62" s="71"/>
      <c r="O62" s="72"/>
      <c r="P62" s="72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ht="15.0" customHeight="1">
      <c r="A63" s="77"/>
      <c r="B63" s="78"/>
      <c r="C63" s="78"/>
      <c r="D63" s="78"/>
      <c r="E63" s="79"/>
      <c r="F63" s="80"/>
      <c r="G63" s="81"/>
      <c r="H63" s="79"/>
      <c r="I63" s="80"/>
      <c r="J63" s="82"/>
      <c r="K63" s="79"/>
      <c r="L63" s="83"/>
      <c r="M63" s="82"/>
      <c r="N63" s="71"/>
      <c r="O63" s="72"/>
      <c r="P63" s="72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ht="15.0" customHeight="1">
      <c r="A64" s="77"/>
      <c r="B64" s="78"/>
      <c r="C64" s="78"/>
      <c r="D64" s="78"/>
      <c r="E64" s="79"/>
      <c r="F64" s="80"/>
      <c r="G64" s="81"/>
      <c r="H64" s="79"/>
      <c r="I64" s="80"/>
      <c r="J64" s="82"/>
      <c r="K64" s="79"/>
      <c r="L64" s="83"/>
      <c r="M64" s="82"/>
      <c r="N64" s="71"/>
      <c r="O64" s="72"/>
      <c r="P64" s="72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ht="15.0" customHeight="1">
      <c r="A65" s="77"/>
      <c r="B65" s="78"/>
      <c r="C65" s="78"/>
      <c r="D65" s="78"/>
      <c r="E65" s="79"/>
      <c r="F65" s="80"/>
      <c r="G65" s="81"/>
      <c r="H65" s="79"/>
      <c r="I65" s="80"/>
      <c r="J65" s="82"/>
      <c r="K65" s="79"/>
      <c r="L65" s="83"/>
      <c r="M65" s="82"/>
      <c r="N65" s="71"/>
      <c r="O65" s="72"/>
      <c r="P65" s="72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 ht="15.0" customHeight="1">
      <c r="A66" s="77"/>
      <c r="B66" s="78"/>
      <c r="C66" s="78"/>
      <c r="D66" s="78"/>
      <c r="E66" s="79"/>
      <c r="F66" s="80"/>
      <c r="G66" s="81"/>
      <c r="H66" s="79"/>
      <c r="I66" s="80"/>
      <c r="J66" s="82"/>
      <c r="K66" s="79"/>
      <c r="L66" s="83"/>
      <c r="M66" s="82"/>
      <c r="N66" s="71"/>
      <c r="O66" s="72"/>
      <c r="P66" s="72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ht="15.0" customHeight="1">
      <c r="A67" s="77"/>
      <c r="B67" s="78"/>
      <c r="C67" s="78"/>
      <c r="D67" s="78"/>
      <c r="E67" s="79"/>
      <c r="F67" s="80"/>
      <c r="G67" s="81"/>
      <c r="H67" s="79"/>
      <c r="I67" s="80"/>
      <c r="J67" s="82"/>
      <c r="K67" s="79"/>
      <c r="L67" s="83"/>
      <c r="M67" s="82"/>
      <c r="N67" s="71"/>
      <c r="O67" s="72"/>
      <c r="P67" s="72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ht="15.0" customHeight="1">
      <c r="A68" s="77"/>
      <c r="B68" s="78"/>
      <c r="C68" s="78"/>
      <c r="D68" s="78"/>
      <c r="E68" s="79"/>
      <c r="F68" s="80"/>
      <c r="G68" s="81"/>
      <c r="H68" s="79"/>
      <c r="I68" s="80"/>
      <c r="J68" s="82"/>
      <c r="K68" s="79"/>
      <c r="L68" s="83"/>
      <c r="M68" s="82"/>
      <c r="N68" s="71"/>
      <c r="O68" s="72"/>
      <c r="P68" s="72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ht="15.0" customHeight="1">
      <c r="A69" s="77"/>
      <c r="B69" s="78"/>
      <c r="C69" s="78"/>
      <c r="D69" s="78"/>
      <c r="E69" s="79"/>
      <c r="F69" s="80"/>
      <c r="G69" s="81"/>
      <c r="H69" s="79"/>
      <c r="I69" s="80"/>
      <c r="J69" s="82"/>
      <c r="K69" s="79"/>
      <c r="L69" s="83"/>
      <c r="M69" s="82"/>
      <c r="N69" s="71"/>
      <c r="O69" s="72"/>
      <c r="P69" s="72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ht="15.0" customHeight="1">
      <c r="A70" s="77"/>
      <c r="B70" s="78"/>
      <c r="C70" s="78"/>
      <c r="D70" s="84"/>
      <c r="E70" s="79"/>
      <c r="F70" s="80"/>
      <c r="G70" s="81"/>
      <c r="H70" s="79"/>
      <c r="I70" s="80"/>
      <c r="J70" s="82"/>
      <c r="K70" s="79"/>
      <c r="L70" s="83"/>
      <c r="M70" s="82"/>
      <c r="N70" s="71"/>
      <c r="O70" s="72"/>
      <c r="P70" s="72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ht="15.0" customHeight="1">
      <c r="A71" s="77"/>
      <c r="B71" s="78"/>
      <c r="C71" s="78"/>
      <c r="D71" s="84"/>
      <c r="E71" s="79"/>
      <c r="F71" s="80"/>
      <c r="G71" s="81"/>
      <c r="H71" s="79"/>
      <c r="I71" s="80"/>
      <c r="J71" s="82"/>
      <c r="K71" s="79"/>
      <c r="L71" s="83"/>
      <c r="M71" s="82"/>
      <c r="N71" s="71"/>
      <c r="O71" s="72"/>
      <c r="P71" s="72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ht="15.0" customHeight="1">
      <c r="A72" s="77"/>
      <c r="B72" s="78"/>
      <c r="C72" s="78"/>
      <c r="D72" s="84"/>
      <c r="E72" s="79"/>
      <c r="F72" s="80"/>
      <c r="G72" s="81"/>
      <c r="H72" s="79"/>
      <c r="I72" s="80"/>
      <c r="J72" s="82"/>
      <c r="K72" s="79"/>
      <c r="L72" s="83"/>
      <c r="M72" s="82"/>
      <c r="N72" s="71"/>
      <c r="O72" s="72"/>
      <c r="P72" s="72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ht="15.0" customHeight="1">
      <c r="A73" s="77"/>
      <c r="B73" s="78"/>
      <c r="C73" s="78"/>
      <c r="D73" s="84"/>
      <c r="E73" s="79"/>
      <c r="F73" s="80"/>
      <c r="G73" s="81"/>
      <c r="H73" s="79"/>
      <c r="I73" s="80"/>
      <c r="J73" s="82"/>
      <c r="K73" s="79"/>
      <c r="L73" s="83"/>
      <c r="M73" s="82"/>
      <c r="N73" s="71"/>
      <c r="O73" s="72"/>
      <c r="P73" s="72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ht="15.0" customHeight="1">
      <c r="A74" s="77"/>
      <c r="B74" s="78"/>
      <c r="C74" s="78"/>
      <c r="D74" s="84"/>
      <c r="E74" s="79"/>
      <c r="F74" s="80"/>
      <c r="G74" s="81"/>
      <c r="H74" s="79"/>
      <c r="I74" s="80"/>
      <c r="J74" s="82"/>
      <c r="K74" s="79"/>
      <c r="L74" s="83"/>
      <c r="M74" s="82"/>
      <c r="N74" s="71"/>
      <c r="O74" s="72"/>
      <c r="P74" s="72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ht="15.0" customHeight="1">
      <c r="A75" s="77"/>
      <c r="B75" s="78"/>
      <c r="C75" s="78"/>
      <c r="D75" s="84"/>
      <c r="E75" s="79"/>
      <c r="F75" s="80"/>
      <c r="G75" s="81"/>
      <c r="H75" s="79"/>
      <c r="I75" s="80"/>
      <c r="J75" s="82"/>
      <c r="K75" s="79"/>
      <c r="L75" s="83"/>
      <c r="M75" s="82"/>
      <c r="N75" s="71"/>
      <c r="O75" s="72"/>
      <c r="P75" s="72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ht="15.0" customHeight="1">
      <c r="A76" s="77"/>
      <c r="B76" s="78"/>
      <c r="C76" s="78"/>
      <c r="D76" s="84"/>
      <c r="E76" s="79"/>
      <c r="F76" s="80"/>
      <c r="G76" s="81"/>
      <c r="H76" s="79"/>
      <c r="I76" s="80"/>
      <c r="J76" s="82"/>
      <c r="K76" s="79"/>
      <c r="L76" s="83"/>
      <c r="M76" s="82"/>
      <c r="N76" s="71"/>
      <c r="O76" s="72"/>
      <c r="P76" s="72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ht="15.0" customHeight="1">
      <c r="A77" s="77"/>
      <c r="B77" s="78"/>
      <c r="C77" s="78"/>
      <c r="D77" s="84"/>
      <c r="E77" s="79"/>
      <c r="F77" s="80"/>
      <c r="G77" s="81"/>
      <c r="H77" s="79"/>
      <c r="I77" s="80"/>
      <c r="J77" s="82"/>
      <c r="K77" s="79"/>
      <c r="L77" s="83"/>
      <c r="M77" s="82"/>
      <c r="N77" s="71"/>
      <c r="O77" s="72"/>
      <c r="P77" s="72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ht="15.0" customHeight="1">
      <c r="A78" s="77"/>
      <c r="B78" s="78"/>
      <c r="C78" s="78"/>
      <c r="D78" s="84"/>
      <c r="E78" s="79"/>
      <c r="F78" s="80"/>
      <c r="G78" s="81"/>
      <c r="H78" s="79"/>
      <c r="I78" s="80"/>
      <c r="J78" s="82"/>
      <c r="K78" s="79"/>
      <c r="L78" s="83"/>
      <c r="M78" s="82"/>
      <c r="N78" s="71"/>
      <c r="O78" s="72"/>
      <c r="P78" s="72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ht="15.0" customHeight="1">
      <c r="A79" s="77"/>
      <c r="B79" s="78"/>
      <c r="C79" s="78"/>
      <c r="D79" s="84"/>
      <c r="E79" s="79"/>
      <c r="F79" s="80"/>
      <c r="G79" s="81"/>
      <c r="H79" s="79"/>
      <c r="I79" s="80"/>
      <c r="J79" s="82"/>
      <c r="K79" s="79"/>
      <c r="L79" s="83"/>
      <c r="M79" s="82"/>
      <c r="N79" s="71"/>
      <c r="O79" s="72"/>
      <c r="P79" s="72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ht="15.0" customHeight="1">
      <c r="A80" s="85"/>
      <c r="B80" s="78"/>
      <c r="C80" s="78"/>
      <c r="D80" s="84"/>
      <c r="E80" s="83"/>
      <c r="F80" s="80"/>
      <c r="G80" s="82"/>
      <c r="H80" s="83"/>
      <c r="I80" s="80"/>
      <c r="J80" s="82"/>
      <c r="K80" s="83"/>
      <c r="L80" s="80"/>
      <c r="M80" s="82"/>
      <c r="N80" s="71"/>
      <c r="O80" s="72"/>
      <c r="P80" s="72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ht="15.0" customHeight="1">
      <c r="A81" s="85"/>
      <c r="B81" s="78"/>
      <c r="C81" s="78"/>
      <c r="D81" s="84"/>
      <c r="E81" s="83"/>
      <c r="F81" s="80"/>
      <c r="G81" s="82"/>
      <c r="H81" s="83"/>
      <c r="I81" s="80"/>
      <c r="J81" s="82"/>
      <c r="K81" s="83"/>
      <c r="L81" s="80"/>
      <c r="M81" s="82"/>
      <c r="N81" s="86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5.0" customHeight="1">
      <c r="A82" s="85"/>
      <c r="B82" s="78"/>
      <c r="C82" s="78"/>
      <c r="D82" s="84"/>
      <c r="E82" s="83"/>
      <c r="F82" s="80"/>
      <c r="G82" s="82"/>
      <c r="H82" s="83"/>
      <c r="I82" s="80"/>
      <c r="J82" s="82"/>
      <c r="K82" s="83"/>
      <c r="L82" s="80"/>
      <c r="M82" s="82"/>
      <c r="N82" s="86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5.0" customHeight="1">
      <c r="A83" s="85"/>
      <c r="B83" s="78"/>
      <c r="C83" s="78"/>
      <c r="D83" s="84"/>
      <c r="E83" s="83"/>
      <c r="F83" s="80"/>
      <c r="G83" s="82"/>
      <c r="H83" s="83"/>
      <c r="I83" s="80"/>
      <c r="J83" s="82"/>
      <c r="K83" s="83"/>
      <c r="L83" s="80"/>
      <c r="M83" s="82"/>
      <c r="N83" s="86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5.0" customHeight="1">
      <c r="A84" s="85"/>
      <c r="B84" s="78"/>
      <c r="C84" s="78"/>
      <c r="D84" s="84"/>
      <c r="E84" s="83"/>
      <c r="F84" s="80"/>
      <c r="G84" s="82"/>
      <c r="H84" s="83"/>
      <c r="I84" s="80"/>
      <c r="J84" s="82"/>
      <c r="K84" s="83"/>
      <c r="L84" s="80"/>
      <c r="M84" s="82"/>
      <c r="N84" s="86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5.0" customHeight="1">
      <c r="A85" s="85"/>
      <c r="B85" s="78"/>
      <c r="C85" s="78"/>
      <c r="D85" s="84"/>
      <c r="E85" s="83"/>
      <c r="F85" s="80"/>
      <c r="G85" s="82"/>
      <c r="H85" s="83"/>
      <c r="I85" s="80"/>
      <c r="J85" s="82"/>
      <c r="K85" s="83"/>
      <c r="L85" s="80"/>
      <c r="M85" s="82"/>
      <c r="N85" s="86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5.0" customHeight="1">
      <c r="A86" s="85"/>
      <c r="B86" s="78"/>
      <c r="C86" s="78"/>
      <c r="D86" s="84"/>
      <c r="E86" s="83"/>
      <c r="F86" s="80"/>
      <c r="G86" s="82"/>
      <c r="H86" s="83"/>
      <c r="I86" s="80"/>
      <c r="J86" s="82"/>
      <c r="K86" s="83"/>
      <c r="L86" s="80"/>
      <c r="M86" s="82"/>
      <c r="N86" s="86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5.0" customHeight="1">
      <c r="A87" s="85"/>
      <c r="B87" s="78"/>
      <c r="C87" s="78"/>
      <c r="D87" s="84"/>
      <c r="E87" s="83"/>
      <c r="F87" s="80"/>
      <c r="G87" s="82"/>
      <c r="H87" s="83"/>
      <c r="I87" s="80"/>
      <c r="J87" s="82"/>
      <c r="K87" s="83"/>
      <c r="L87" s="80"/>
      <c r="M87" s="82"/>
      <c r="N87" s="86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5.0" customHeight="1">
      <c r="A88" s="85"/>
      <c r="B88" s="78"/>
      <c r="C88" s="78"/>
      <c r="D88" s="84"/>
      <c r="E88" s="83"/>
      <c r="F88" s="80"/>
      <c r="G88" s="82"/>
      <c r="H88" s="83"/>
      <c r="I88" s="80"/>
      <c r="J88" s="82"/>
      <c r="K88" s="83"/>
      <c r="L88" s="80"/>
      <c r="M88" s="82"/>
      <c r="N88" s="86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5.0" customHeight="1">
      <c r="A89" s="85"/>
      <c r="B89" s="78"/>
      <c r="C89" s="78"/>
      <c r="D89" s="84"/>
      <c r="E89" s="83"/>
      <c r="F89" s="80"/>
      <c r="G89" s="82"/>
      <c r="H89" s="83"/>
      <c r="I89" s="80"/>
      <c r="J89" s="82"/>
      <c r="K89" s="83"/>
      <c r="L89" s="80"/>
      <c r="M89" s="82"/>
      <c r="N89" s="86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5.0" customHeight="1">
      <c r="A90" s="85"/>
      <c r="B90" s="78"/>
      <c r="C90" s="78"/>
      <c r="D90" s="84"/>
      <c r="E90" s="83"/>
      <c r="F90" s="80"/>
      <c r="G90" s="82"/>
      <c r="H90" s="83"/>
      <c r="I90" s="80"/>
      <c r="J90" s="82"/>
      <c r="K90" s="83"/>
      <c r="L90" s="80"/>
      <c r="M90" s="82"/>
      <c r="N90" s="86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5.0" customHeight="1">
      <c r="A91" s="85"/>
      <c r="B91" s="78"/>
      <c r="C91" s="78"/>
      <c r="D91" s="84"/>
      <c r="E91" s="83"/>
      <c r="F91" s="80"/>
      <c r="G91" s="82"/>
      <c r="H91" s="83"/>
      <c r="I91" s="80"/>
      <c r="J91" s="82"/>
      <c r="K91" s="83"/>
      <c r="L91" s="80"/>
      <c r="M91" s="82"/>
      <c r="N91" s="86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5.0" customHeight="1">
      <c r="A92" s="85"/>
      <c r="B92" s="78"/>
      <c r="C92" s="78"/>
      <c r="D92" s="84"/>
      <c r="E92" s="83"/>
      <c r="F92" s="80"/>
      <c r="G92" s="82"/>
      <c r="H92" s="83"/>
      <c r="I92" s="80"/>
      <c r="J92" s="82"/>
      <c r="K92" s="83"/>
      <c r="L92" s="80"/>
      <c r="M92" s="82"/>
      <c r="N92" s="86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5.0" customHeight="1">
      <c r="A93" s="85"/>
      <c r="B93" s="78"/>
      <c r="C93" s="78"/>
      <c r="D93" s="84"/>
      <c r="E93" s="83"/>
      <c r="F93" s="80"/>
      <c r="G93" s="82"/>
      <c r="H93" s="83"/>
      <c r="I93" s="80"/>
      <c r="J93" s="82"/>
      <c r="K93" s="83"/>
      <c r="L93" s="80"/>
      <c r="M93" s="82"/>
      <c r="N93" s="86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5.0" customHeight="1">
      <c r="A94" s="85"/>
      <c r="B94" s="78"/>
      <c r="C94" s="78"/>
      <c r="D94" s="84"/>
      <c r="E94" s="83"/>
      <c r="F94" s="80"/>
      <c r="G94" s="82"/>
      <c r="H94" s="83"/>
      <c r="I94" s="80"/>
      <c r="J94" s="82"/>
      <c r="K94" s="83"/>
      <c r="L94" s="80"/>
      <c r="M94" s="82"/>
      <c r="N94" s="86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5.0" customHeight="1">
      <c r="A95" s="85"/>
      <c r="B95" s="78"/>
      <c r="C95" s="78"/>
      <c r="D95" s="84"/>
      <c r="E95" s="83"/>
      <c r="F95" s="80"/>
      <c r="G95" s="82"/>
      <c r="H95" s="83"/>
      <c r="I95" s="80"/>
      <c r="J95" s="82"/>
      <c r="K95" s="83"/>
      <c r="L95" s="80"/>
      <c r="M95" s="82"/>
      <c r="N95" s="86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5.0" customHeight="1">
      <c r="A96" s="85"/>
      <c r="B96" s="78"/>
      <c r="C96" s="78"/>
      <c r="D96" s="84"/>
      <c r="E96" s="83"/>
      <c r="F96" s="80"/>
      <c r="G96" s="82"/>
      <c r="H96" s="83"/>
      <c r="I96" s="80"/>
      <c r="J96" s="82"/>
      <c r="K96" s="83"/>
      <c r="L96" s="80"/>
      <c r="M96" s="82"/>
      <c r="N96" s="86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5.0" customHeight="1">
      <c r="A97" s="87"/>
      <c r="B97" s="87"/>
      <c r="C97" s="87"/>
      <c r="D97" s="88"/>
      <c r="E97" s="86"/>
      <c r="F97" s="87"/>
      <c r="G97" s="88"/>
      <c r="H97" s="86"/>
      <c r="I97" s="87"/>
      <c r="J97" s="88"/>
      <c r="K97" s="86"/>
      <c r="L97" s="87"/>
      <c r="M97" s="88"/>
      <c r="N97" s="86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5.0" customHeight="1">
      <c r="A98" s="87"/>
      <c r="B98" s="87"/>
      <c r="C98" s="87"/>
      <c r="D98" s="88"/>
      <c r="E98" s="86"/>
      <c r="F98" s="87"/>
      <c r="G98" s="88"/>
      <c r="H98" s="86"/>
      <c r="I98" s="87"/>
      <c r="J98" s="88"/>
      <c r="K98" s="86"/>
      <c r="L98" s="87"/>
      <c r="M98" s="88"/>
      <c r="N98" s="86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5.0" customHeight="1">
      <c r="A99" s="87"/>
      <c r="B99" s="87"/>
      <c r="C99" s="87"/>
      <c r="D99" s="88"/>
      <c r="E99" s="86"/>
      <c r="F99" s="87"/>
      <c r="G99" s="88"/>
      <c r="H99" s="86"/>
      <c r="I99" s="87"/>
      <c r="J99" s="88"/>
      <c r="K99" s="86"/>
      <c r="L99" s="87"/>
      <c r="M99" s="88"/>
      <c r="N99" s="86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5.0" customHeight="1">
      <c r="A100" s="87"/>
      <c r="B100" s="87"/>
      <c r="C100" s="87"/>
      <c r="D100" s="88"/>
      <c r="E100" s="86"/>
      <c r="F100" s="87"/>
      <c r="G100" s="88"/>
      <c r="H100" s="86"/>
      <c r="I100" s="87"/>
      <c r="J100" s="88"/>
      <c r="K100" s="86"/>
      <c r="L100" s="87"/>
      <c r="M100" s="88"/>
      <c r="N100" s="86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5.0" customHeight="1">
      <c r="A101" s="87"/>
      <c r="B101" s="87"/>
      <c r="C101" s="87"/>
      <c r="D101" s="88"/>
      <c r="E101" s="86"/>
      <c r="F101" s="87"/>
      <c r="G101" s="88"/>
      <c r="H101" s="86"/>
      <c r="I101" s="87"/>
      <c r="J101" s="88"/>
      <c r="K101" s="86"/>
      <c r="L101" s="87"/>
      <c r="M101" s="88"/>
      <c r="N101" s="86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5.0" customHeight="1">
      <c r="A102" s="87"/>
      <c r="B102" s="87"/>
      <c r="C102" s="87"/>
      <c r="D102" s="88"/>
      <c r="E102" s="86"/>
      <c r="F102" s="87"/>
      <c r="G102" s="88"/>
      <c r="H102" s="86"/>
      <c r="I102" s="87"/>
      <c r="J102" s="88"/>
      <c r="K102" s="86"/>
      <c r="L102" s="87"/>
      <c r="M102" s="88"/>
      <c r="N102" s="86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5.0" customHeight="1">
      <c r="A103" s="87"/>
      <c r="B103" s="87"/>
      <c r="C103" s="87"/>
      <c r="D103" s="88"/>
      <c r="E103" s="86"/>
      <c r="F103" s="87"/>
      <c r="G103" s="88"/>
      <c r="H103" s="86"/>
      <c r="I103" s="87"/>
      <c r="J103" s="88"/>
      <c r="K103" s="86"/>
      <c r="L103" s="87"/>
      <c r="M103" s="88"/>
      <c r="N103" s="86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5.0" customHeight="1">
      <c r="A104" s="87"/>
      <c r="B104" s="87"/>
      <c r="C104" s="87"/>
      <c r="D104" s="88"/>
      <c r="E104" s="86"/>
      <c r="F104" s="87"/>
      <c r="G104" s="88"/>
      <c r="H104" s="86"/>
      <c r="I104" s="87"/>
      <c r="J104" s="88"/>
      <c r="K104" s="86"/>
      <c r="L104" s="87"/>
      <c r="M104" s="88"/>
      <c r="N104" s="86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5.0" customHeight="1">
      <c r="A105" s="87"/>
      <c r="B105" s="87"/>
      <c r="C105" s="87"/>
      <c r="D105" s="88"/>
      <c r="E105" s="86"/>
      <c r="F105" s="87"/>
      <c r="G105" s="88"/>
      <c r="H105" s="86"/>
      <c r="I105" s="87"/>
      <c r="J105" s="88"/>
      <c r="K105" s="86"/>
      <c r="L105" s="87"/>
      <c r="M105" s="88"/>
      <c r="N105" s="86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5.0" customHeight="1">
      <c r="A106" s="87"/>
      <c r="B106" s="87"/>
      <c r="C106" s="87"/>
      <c r="D106" s="88"/>
      <c r="E106" s="86"/>
      <c r="F106" s="87"/>
      <c r="G106" s="88"/>
      <c r="H106" s="86"/>
      <c r="I106" s="87"/>
      <c r="J106" s="88"/>
      <c r="K106" s="86"/>
      <c r="L106" s="87"/>
      <c r="M106" s="88"/>
      <c r="N106" s="86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5.0" customHeight="1">
      <c r="A107" s="87"/>
      <c r="B107" s="87"/>
      <c r="C107" s="87"/>
      <c r="D107" s="88"/>
      <c r="E107" s="86"/>
      <c r="F107" s="87"/>
      <c r="G107" s="88"/>
      <c r="H107" s="86"/>
      <c r="I107" s="87"/>
      <c r="J107" s="88"/>
      <c r="K107" s="86"/>
      <c r="L107" s="87"/>
      <c r="M107" s="88"/>
      <c r="N107" s="86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5.0" customHeight="1">
      <c r="A108" s="87"/>
      <c r="B108" s="87"/>
      <c r="C108" s="87"/>
      <c r="D108" s="88"/>
      <c r="E108" s="86"/>
      <c r="F108" s="87"/>
      <c r="G108" s="88"/>
      <c r="H108" s="86"/>
      <c r="I108" s="87"/>
      <c r="J108" s="88"/>
      <c r="K108" s="86"/>
      <c r="L108" s="87"/>
      <c r="M108" s="88"/>
      <c r="N108" s="86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5.0" customHeight="1">
      <c r="A109" s="87"/>
      <c r="B109" s="87"/>
      <c r="C109" s="87"/>
      <c r="D109" s="88"/>
      <c r="E109" s="86"/>
      <c r="F109" s="87"/>
      <c r="G109" s="88"/>
      <c r="H109" s="86"/>
      <c r="I109" s="87"/>
      <c r="J109" s="88"/>
      <c r="K109" s="86"/>
      <c r="L109" s="87"/>
      <c r="M109" s="88"/>
      <c r="N109" s="86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5.0" customHeight="1">
      <c r="A110" s="87"/>
      <c r="B110" s="87"/>
      <c r="C110" s="87"/>
      <c r="D110" s="88"/>
      <c r="E110" s="86"/>
      <c r="F110" s="87"/>
      <c r="G110" s="88"/>
      <c r="H110" s="86"/>
      <c r="I110" s="87"/>
      <c r="J110" s="88"/>
      <c r="K110" s="86"/>
      <c r="L110" s="87"/>
      <c r="M110" s="88"/>
      <c r="N110" s="86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5.0" customHeight="1">
      <c r="A111" s="87"/>
      <c r="B111" s="87"/>
      <c r="C111" s="87"/>
      <c r="D111" s="88"/>
      <c r="E111" s="86"/>
      <c r="F111" s="87"/>
      <c r="G111" s="88"/>
      <c r="H111" s="86"/>
      <c r="I111" s="87"/>
      <c r="J111" s="88"/>
      <c r="K111" s="86"/>
      <c r="L111" s="87"/>
      <c r="M111" s="88"/>
      <c r="N111" s="86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5.0" customHeight="1">
      <c r="A112" s="87"/>
      <c r="B112" s="87"/>
      <c r="C112" s="87"/>
      <c r="D112" s="88"/>
      <c r="E112" s="86"/>
      <c r="F112" s="87"/>
      <c r="G112" s="88"/>
      <c r="H112" s="86"/>
      <c r="I112" s="87"/>
      <c r="J112" s="88"/>
      <c r="K112" s="86"/>
      <c r="L112" s="87"/>
      <c r="M112" s="88"/>
      <c r="N112" s="86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5.0" customHeight="1">
      <c r="A113" s="87"/>
      <c r="B113" s="87"/>
      <c r="C113" s="87"/>
      <c r="D113" s="88"/>
      <c r="E113" s="86"/>
      <c r="F113" s="87"/>
      <c r="G113" s="88"/>
      <c r="H113" s="86"/>
      <c r="I113" s="87"/>
      <c r="J113" s="88"/>
      <c r="K113" s="86"/>
      <c r="L113" s="87"/>
      <c r="M113" s="88"/>
      <c r="N113" s="86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5.0" customHeight="1">
      <c r="A114" s="87"/>
      <c r="B114" s="87"/>
      <c r="C114" s="87"/>
      <c r="D114" s="88"/>
      <c r="E114" s="86"/>
      <c r="F114" s="87"/>
      <c r="G114" s="88"/>
      <c r="H114" s="86"/>
      <c r="I114" s="87"/>
      <c r="J114" s="88"/>
      <c r="K114" s="86"/>
      <c r="L114" s="87"/>
      <c r="M114" s="88"/>
      <c r="N114" s="86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5.0" customHeight="1">
      <c r="A115" s="87"/>
      <c r="B115" s="87"/>
      <c r="C115" s="87"/>
      <c r="D115" s="88"/>
      <c r="E115" s="86"/>
      <c r="F115" s="87"/>
      <c r="G115" s="88"/>
      <c r="H115" s="86"/>
      <c r="I115" s="87"/>
      <c r="J115" s="88"/>
      <c r="K115" s="86"/>
      <c r="L115" s="87"/>
      <c r="M115" s="88"/>
      <c r="N115" s="86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5.0" customHeight="1">
      <c r="A116" s="87"/>
      <c r="B116" s="87"/>
      <c r="C116" s="87"/>
      <c r="D116" s="88"/>
      <c r="E116" s="86"/>
      <c r="F116" s="87"/>
      <c r="G116" s="88"/>
      <c r="H116" s="86"/>
      <c r="I116" s="87"/>
      <c r="J116" s="88"/>
      <c r="K116" s="86"/>
      <c r="L116" s="87"/>
      <c r="M116" s="88"/>
      <c r="N116" s="86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5.0" customHeight="1">
      <c r="A117" s="87"/>
      <c r="B117" s="87"/>
      <c r="C117" s="87"/>
      <c r="D117" s="88"/>
      <c r="E117" s="86"/>
      <c r="F117" s="87"/>
      <c r="G117" s="88"/>
      <c r="H117" s="86"/>
      <c r="I117" s="87"/>
      <c r="J117" s="88"/>
      <c r="K117" s="86"/>
      <c r="L117" s="87"/>
      <c r="M117" s="88"/>
      <c r="N117" s="86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5.0" customHeight="1">
      <c r="A118" s="87"/>
      <c r="B118" s="87"/>
      <c r="C118" s="87"/>
      <c r="D118" s="88"/>
      <c r="E118" s="86"/>
      <c r="F118" s="87"/>
      <c r="G118" s="88"/>
      <c r="H118" s="86"/>
      <c r="I118" s="87"/>
      <c r="J118" s="88"/>
      <c r="K118" s="86"/>
      <c r="L118" s="87"/>
      <c r="M118" s="88"/>
      <c r="N118" s="86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5.0" customHeight="1">
      <c r="A119" s="87"/>
      <c r="B119" s="87"/>
      <c r="C119" s="87"/>
      <c r="D119" s="88"/>
      <c r="E119" s="86"/>
      <c r="F119" s="87"/>
      <c r="G119" s="88"/>
      <c r="H119" s="86"/>
      <c r="I119" s="87"/>
      <c r="J119" s="88"/>
      <c r="K119" s="86"/>
      <c r="L119" s="87"/>
      <c r="M119" s="88"/>
      <c r="N119" s="86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5.0" customHeight="1">
      <c r="A120" s="87"/>
      <c r="B120" s="87"/>
      <c r="C120" s="87"/>
      <c r="D120" s="88"/>
      <c r="E120" s="86"/>
      <c r="F120" s="87"/>
      <c r="G120" s="88"/>
      <c r="H120" s="86"/>
      <c r="I120" s="87"/>
      <c r="J120" s="88"/>
      <c r="K120" s="86"/>
      <c r="L120" s="87"/>
      <c r="M120" s="88"/>
      <c r="N120" s="86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5.0" customHeight="1">
      <c r="A121" s="87"/>
      <c r="B121" s="87"/>
      <c r="C121" s="87"/>
      <c r="D121" s="88"/>
      <c r="E121" s="86"/>
      <c r="F121" s="87"/>
      <c r="G121" s="88"/>
      <c r="H121" s="86"/>
      <c r="I121" s="87"/>
      <c r="J121" s="88"/>
      <c r="K121" s="86"/>
      <c r="L121" s="87"/>
      <c r="M121" s="88"/>
      <c r="N121" s="86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6.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6.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6.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6.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6.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6.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6.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6.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6.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6.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6.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6.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6.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6.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6.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6.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6.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6.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6.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6.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6.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6.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6.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6.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6.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6.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6.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6.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6.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6.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6.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6.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6.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6.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6.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6.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6.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6.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6.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6.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6.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6.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6.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6.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6.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6.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6.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6.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6.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6.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6.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6.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6.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6.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6.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6.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6.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6.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6.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6.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6.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6.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6.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6.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6.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6.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6.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6.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6.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6.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6.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6.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6.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6.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6.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6.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6.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6.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6.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6.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6.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6.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6.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6.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6.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6.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6.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6.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6.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6.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6.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6.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6.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6.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6.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6.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6.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6.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6.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6.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6.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6.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6.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6.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6.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6.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6.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6.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6.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6.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6.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6.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6.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6.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6.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6.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6.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6.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6.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6.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6.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6.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6.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6.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6.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6.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6.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6.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6.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6.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6.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6.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6.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6.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6.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6.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6.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6.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6.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6.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6.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6.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6.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6.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6.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6.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6.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6.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6.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6.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6.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6.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6.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6.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6.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6.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6.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6.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6.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6.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6.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6.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6.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6.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6.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6.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6.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6.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6.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6.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6.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6.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6.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6.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6.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6.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6.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6.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6.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6.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6.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6.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16.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16.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16.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16.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16.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16.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16.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16.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16.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16.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16.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16.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16.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16.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16.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16.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16.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16.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16.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16.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16.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16.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16.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16.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16.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16.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16.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16.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16.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16.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16.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16.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16.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16.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16.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16.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16.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16.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16.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16.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16.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16.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16.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16.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16.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16.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16.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16.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16.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16.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16.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16.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16.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16.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16.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16.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16.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16.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16.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16.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16.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16.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16.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16.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16.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16.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16.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16.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16.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16.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16.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16.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16.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16.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16.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16.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16.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16.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16.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16.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16.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16.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16.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16.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16.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16.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16.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16.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16.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16.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16.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16.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16.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16.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16.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16.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16.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16.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16.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16.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16.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16.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16.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16.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16.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16.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16.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16.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16.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16.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16.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16.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16.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16.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16.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16.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16.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16.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16.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16.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16.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16.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16.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16.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16.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16.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16.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16.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16.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16.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16.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16.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16.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16.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16.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16.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16.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16.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16.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16.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16.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16.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16.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16.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16.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16.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16.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16.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16.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16.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16.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16.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16.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16.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16.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16.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16.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16.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16.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16.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16.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16.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16.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16.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16.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16.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16.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16.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16.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16.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16.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16.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16.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16.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16.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16.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16.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16.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16.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16.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ht="16.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ht="16.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ht="16.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ht="16.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ht="16.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ht="16.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ht="16.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ht="16.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ht="16.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ht="16.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ht="16.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ht="16.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ht="16.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ht="16.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ht="16.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ht="16.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ht="16.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ht="16.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ht="16.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ht="16.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ht="16.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ht="16.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ht="16.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ht="16.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ht="16.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ht="16.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ht="16.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ht="16.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ht="16.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ht="16.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ht="16.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ht="16.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ht="16.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ht="16.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ht="16.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ht="16.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ht="16.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ht="16.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ht="16.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ht="16.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ht="16.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ht="16.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ht="16.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ht="16.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ht="16.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6.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ht="16.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ht="16.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ht="16.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ht="16.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ht="16.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ht="16.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ht="16.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ht="16.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ht="16.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ht="16.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ht="16.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ht="16.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ht="16.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ht="16.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ht="16.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ht="16.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ht="16.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ht="16.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ht="16.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ht="16.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ht="16.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ht="16.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ht="16.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ht="16.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ht="16.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ht="16.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ht="16.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ht="16.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ht="16.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ht="16.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ht="16.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ht="16.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ht="16.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ht="16.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ht="16.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ht="16.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ht="16.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ht="16.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ht="16.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ht="16.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ht="16.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ht="16.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ht="16.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ht="16.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ht="16.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ht="16.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ht="16.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ht="16.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ht="16.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ht="16.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ht="16.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ht="16.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ht="16.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ht="16.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ht="16.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ht="16.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ht="16.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ht="16.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ht="16.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ht="16.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ht="16.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ht="16.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ht="16.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ht="16.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ht="16.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ht="16.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ht="16.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ht="16.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ht="16.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ht="16.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ht="16.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ht="16.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ht="16.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ht="16.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ht="16.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ht="16.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ht="16.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ht="16.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ht="16.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ht="16.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ht="16.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ht="16.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ht="16.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ht="16.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ht="16.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ht="16.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ht="16.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ht="16.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ht="16.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ht="16.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ht="16.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ht="16.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ht="16.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ht="16.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ht="16.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ht="16.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ht="16.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ht="16.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ht="16.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ht="16.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ht="16.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ht="16.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ht="16.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ht="16.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ht="16.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ht="16.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ht="16.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ht="16.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ht="16.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ht="16.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ht="16.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ht="16.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ht="16.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ht="16.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ht="16.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ht="16.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ht="16.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ht="16.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ht="16.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ht="16.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ht="16.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ht="16.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ht="16.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ht="16.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ht="16.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ht="16.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ht="16.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ht="16.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ht="16.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ht="16.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ht="16.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ht="16.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ht="16.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ht="16.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ht="16.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ht="16.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ht="16.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ht="16.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ht="16.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ht="16.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ht="16.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ht="16.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ht="16.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ht="16.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ht="16.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ht="16.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ht="16.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ht="16.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ht="16.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ht="16.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ht="16.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ht="16.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ht="16.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ht="16.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ht="16.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ht="16.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ht="16.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ht="16.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ht="16.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ht="16.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ht="16.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ht="16.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ht="16.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ht="16.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ht="16.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ht="16.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ht="16.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ht="16.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ht="16.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ht="16.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ht="16.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ht="16.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ht="16.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ht="16.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ht="16.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ht="16.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ht="16.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ht="16.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ht="16.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ht="16.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ht="16.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ht="16.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ht="16.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ht="16.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ht="16.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ht="16.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ht="16.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ht="16.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ht="16.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ht="16.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ht="16.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ht="16.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ht="16.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ht="16.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ht="16.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ht="16.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ht="16.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ht="16.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ht="16.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ht="16.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ht="16.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ht="16.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ht="16.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ht="16.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ht="16.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ht="16.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ht="16.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ht="16.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ht="16.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ht="16.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ht="16.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ht="16.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ht="16.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ht="16.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ht="16.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ht="16.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ht="16.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ht="16.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ht="16.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ht="16.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ht="16.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ht="16.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ht="16.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ht="16.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ht="16.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ht="16.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ht="16.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ht="16.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ht="16.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ht="16.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ht="16.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ht="16.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ht="16.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ht="16.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ht="16.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ht="16.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ht="16.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ht="16.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ht="16.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ht="16.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ht="16.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ht="16.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ht="16.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ht="16.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ht="16.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ht="16.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ht="16.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ht="16.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ht="16.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ht="16.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ht="16.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ht="16.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ht="16.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ht="16.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ht="16.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ht="16.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ht="16.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ht="16.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ht="16.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ht="16.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ht="16.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ht="16.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ht="16.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ht="16.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ht="16.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ht="16.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ht="16.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ht="16.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ht="16.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ht="16.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ht="16.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ht="16.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ht="16.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ht="16.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ht="16.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ht="16.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ht="16.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ht="16.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ht="16.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ht="16.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ht="16.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ht="16.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ht="16.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ht="16.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ht="16.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ht="16.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ht="16.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ht="16.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ht="16.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ht="16.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ht="16.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ht="16.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ht="16.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ht="16.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ht="16.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ht="16.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ht="16.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ht="16.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ht="16.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ht="16.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ht="16.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ht="16.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ht="16.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ht="16.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ht="16.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ht="16.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ht="16.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ht="16.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ht="16.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ht="16.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ht="16.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ht="16.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ht="16.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ht="16.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ht="16.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ht="16.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ht="16.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ht="16.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ht="16.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ht="16.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ht="16.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ht="16.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ht="16.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ht="16.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ht="16.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ht="16.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ht="16.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ht="16.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ht="16.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ht="16.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ht="16.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ht="16.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ht="16.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ht="16.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ht="16.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ht="16.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ht="16.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ht="16.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ht="16.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ht="16.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ht="16.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ht="16.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ht="16.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ht="16.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ht="16.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ht="16.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ht="16.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ht="16.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ht="16.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ht="16.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ht="16.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ht="16.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ht="16.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ht="16.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ht="16.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ht="16.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ht="16.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ht="16.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ht="16.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ht="16.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ht="16.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ht="16.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ht="16.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ht="16.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ht="16.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ht="16.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ht="16.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ht="16.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ht="16.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ht="16.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ht="16.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ht="16.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ht="16.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ht="16.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ht="16.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ht="16.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ht="16.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ht="16.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ht="16.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ht="16.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ht="16.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ht="16.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ht="16.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ht="16.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ht="16.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ht="16.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ht="16.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ht="16.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ht="16.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ht="16.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ht="16.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ht="16.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ht="16.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ht="16.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ht="16.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ht="16.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ht="16.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ht="16.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ht="16.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ht="16.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ht="16.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ht="16.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ht="16.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ht="16.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ht="16.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ht="16.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ht="16.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ht="16.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ht="16.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ht="16.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ht="16.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ht="16.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ht="16.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ht="16.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ht="16.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ht="16.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ht="16.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ht="16.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ht="16.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ht="16.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ht="16.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ht="16.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ht="16.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ht="16.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ht="16.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ht="16.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ht="16.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ht="16.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ht="16.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ht="16.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ht="16.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ht="16.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ht="16.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ht="16.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ht="16.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ht="16.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ht="16.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ht="16.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ht="16.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ht="16.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ht="16.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ht="16.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ht="16.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ht="16.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ht="16.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ht="16.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ht="16.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ht="16.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ht="16.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ht="16.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ht="16.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ht="16.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ht="16.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ht="16.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ht="16.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ht="16.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ht="16.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ht="16.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ht="16.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ht="16.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ht="16.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ht="16.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ht="16.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ht="16.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ht="16.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ht="16.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ht="16.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ht="16.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ht="16.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ht="16.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ht="16.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mergeCells count="7">
    <mergeCell ref="A1:N1"/>
    <mergeCell ref="A17:A19"/>
    <mergeCell ref="B17:D17"/>
    <mergeCell ref="E17:G17"/>
    <mergeCell ref="H17:J17"/>
    <mergeCell ref="K17:M17"/>
    <mergeCell ref="N17:N19"/>
  </mergeCells>
  <printOptions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13" width="5.29"/>
    <col customWidth="1" min="14" max="14" width="3.71"/>
    <col customWidth="1" min="15" max="16" width="0.86"/>
    <col customWidth="1" min="17" max="26" width="8.86"/>
  </cols>
  <sheetData>
    <row r="1" ht="19.5" customHeight="1">
      <c r="A1" s="15" t="s">
        <v>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  <c r="O1" s="18"/>
      <c r="P1" s="18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4.5" customHeight="1">
      <c r="A2" s="20"/>
      <c r="B2" s="21"/>
      <c r="C2" s="22"/>
      <c r="D2" s="22"/>
      <c r="E2" s="22"/>
      <c r="F2" s="23"/>
      <c r="G2" s="22"/>
      <c r="H2" s="21"/>
      <c r="I2" s="22"/>
      <c r="J2" s="22"/>
      <c r="K2" s="22"/>
      <c r="L2" s="23"/>
      <c r="M2" s="22"/>
      <c r="N2" s="24"/>
      <c r="O2" s="22"/>
      <c r="P2" s="22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5.0" customHeight="1">
      <c r="A3" s="25" t="str">
        <f>'S1-1,3 STRUT (3) 배면 좌'!A3</f>
        <v>현  장  명 : 용산구 한남동 383일대 근린생활시설 신축공사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7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15.0" customHeight="1">
      <c r="A4" s="25" t="s">
        <v>30</v>
      </c>
      <c r="B4" s="26"/>
      <c r="C4" s="26"/>
      <c r="D4" s="26"/>
      <c r="E4" s="26"/>
      <c r="F4" s="29"/>
      <c r="G4" s="26"/>
      <c r="H4" s="26"/>
      <c r="I4" s="26"/>
      <c r="J4" s="26"/>
      <c r="K4" s="26"/>
      <c r="L4" s="29"/>
      <c r="M4" s="26"/>
      <c r="N4" s="30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16.5" customHeight="1">
      <c r="A5" s="31"/>
      <c r="B5" s="32"/>
      <c r="C5" s="32"/>
      <c r="D5" s="32"/>
      <c r="E5" s="32"/>
      <c r="F5" s="33"/>
      <c r="G5" s="32"/>
      <c r="H5" s="32"/>
      <c r="I5" s="32"/>
      <c r="J5" s="32"/>
      <c r="K5" s="32"/>
      <c r="L5" s="33"/>
      <c r="M5" s="32"/>
      <c r="N5" s="34"/>
      <c r="O5" s="19"/>
      <c r="P5" s="19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6.5" customHeight="1">
      <c r="A6" s="35"/>
      <c r="B6" s="36"/>
      <c r="C6" s="36"/>
      <c r="D6" s="36"/>
      <c r="E6" s="36"/>
      <c r="F6" s="19"/>
      <c r="G6" s="36"/>
      <c r="H6" s="36"/>
      <c r="I6" s="36"/>
      <c r="J6" s="36"/>
      <c r="K6" s="36"/>
      <c r="L6" s="19"/>
      <c r="M6" s="36"/>
      <c r="N6" s="37"/>
      <c r="O6" s="19"/>
      <c r="P6" s="19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6.5" customHeight="1">
      <c r="A7" s="35"/>
      <c r="B7" s="36"/>
      <c r="C7" s="36"/>
      <c r="D7" s="36"/>
      <c r="E7" s="36"/>
      <c r="F7" s="19"/>
      <c r="G7" s="36"/>
      <c r="H7" s="36"/>
      <c r="I7" s="36"/>
      <c r="J7" s="36"/>
      <c r="K7" s="36"/>
      <c r="L7" s="19"/>
      <c r="M7" s="36"/>
      <c r="N7" s="37"/>
      <c r="O7" s="19"/>
      <c r="P7" s="19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16.5" customHeight="1">
      <c r="A8" s="35"/>
      <c r="B8" s="36"/>
      <c r="C8" s="36"/>
      <c r="D8" s="36"/>
      <c r="E8" s="36"/>
      <c r="F8" s="19"/>
      <c r="G8" s="36"/>
      <c r="H8" s="36"/>
      <c r="I8" s="36"/>
      <c r="J8" s="36"/>
      <c r="K8" s="36"/>
      <c r="L8" s="19"/>
      <c r="M8" s="36"/>
      <c r="N8" s="37"/>
      <c r="O8" s="19"/>
      <c r="P8" s="19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6.5" customHeight="1">
      <c r="A9" s="35"/>
      <c r="B9" s="36"/>
      <c r="C9" s="36"/>
      <c r="D9" s="36"/>
      <c r="E9" s="36"/>
      <c r="F9" s="19"/>
      <c r="G9" s="36"/>
      <c r="H9" s="36"/>
      <c r="I9" s="36"/>
      <c r="J9" s="36"/>
      <c r="K9" s="36"/>
      <c r="L9" s="19"/>
      <c r="M9" s="36"/>
      <c r="N9" s="37"/>
      <c r="O9" s="19"/>
      <c r="P9" s="19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6.5" customHeight="1">
      <c r="A10" s="35"/>
      <c r="B10" s="36"/>
      <c r="C10" s="36"/>
      <c r="D10" s="36"/>
      <c r="E10" s="36"/>
      <c r="F10" s="19"/>
      <c r="G10" s="36"/>
      <c r="H10" s="36"/>
      <c r="I10" s="36"/>
      <c r="J10" s="36"/>
      <c r="K10" s="36"/>
      <c r="L10" s="19"/>
      <c r="M10" s="36"/>
      <c r="N10" s="37"/>
      <c r="O10" s="19"/>
      <c r="P10" s="19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6.5" customHeight="1">
      <c r="A11" s="35"/>
      <c r="B11" s="36"/>
      <c r="C11" s="36"/>
      <c r="D11" s="36"/>
      <c r="E11" s="36"/>
      <c r="F11" s="19"/>
      <c r="G11" s="36"/>
      <c r="H11" s="36"/>
      <c r="I11" s="36"/>
      <c r="J11" s="36"/>
      <c r="K11" s="36"/>
      <c r="L11" s="19"/>
      <c r="M11" s="36"/>
      <c r="N11" s="37"/>
      <c r="O11" s="19"/>
      <c r="P11" s="19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6.5" customHeight="1">
      <c r="A12" s="35"/>
      <c r="B12" s="36"/>
      <c r="C12" s="36"/>
      <c r="D12" s="36"/>
      <c r="E12" s="36"/>
      <c r="F12" s="19"/>
      <c r="G12" s="36"/>
      <c r="H12" s="36"/>
      <c r="I12" s="36"/>
      <c r="J12" s="36"/>
      <c r="K12" s="36"/>
      <c r="L12" s="19"/>
      <c r="M12" s="36"/>
      <c r="N12" s="37"/>
      <c r="O12" s="19"/>
      <c r="P12" s="19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6.5" customHeight="1">
      <c r="A13" s="35"/>
      <c r="B13" s="36"/>
      <c r="C13" s="36"/>
      <c r="D13" s="36"/>
      <c r="E13" s="36"/>
      <c r="F13" s="19"/>
      <c r="G13" s="36"/>
      <c r="H13" s="36"/>
      <c r="I13" s="36"/>
      <c r="J13" s="36"/>
      <c r="K13" s="36"/>
      <c r="L13" s="19"/>
      <c r="M13" s="36"/>
      <c r="N13" s="37"/>
      <c r="O13" s="19"/>
      <c r="P13" s="19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6.5" customHeight="1">
      <c r="A14" s="35"/>
      <c r="B14" s="36"/>
      <c r="C14" s="36"/>
      <c r="D14" s="36"/>
      <c r="E14" s="36"/>
      <c r="F14" s="19"/>
      <c r="G14" s="36"/>
      <c r="H14" s="36"/>
      <c r="I14" s="36"/>
      <c r="J14" s="36"/>
      <c r="K14" s="36"/>
      <c r="L14" s="19"/>
      <c r="M14" s="36"/>
      <c r="N14" s="37"/>
      <c r="O14" s="19"/>
      <c r="P14" s="19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6.5" customHeight="1">
      <c r="A15" s="35"/>
      <c r="B15" s="36"/>
      <c r="C15" s="36"/>
      <c r="D15" s="36"/>
      <c r="E15" s="36"/>
      <c r="F15" s="19"/>
      <c r="G15" s="36"/>
      <c r="H15" s="36"/>
      <c r="I15" s="36"/>
      <c r="J15" s="36"/>
      <c r="K15" s="36"/>
      <c r="L15" s="19"/>
      <c r="M15" s="36"/>
      <c r="N15" s="37"/>
      <c r="O15" s="19"/>
      <c r="P15" s="19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6.5" customHeight="1">
      <c r="A16" s="38"/>
      <c r="B16" s="39"/>
      <c r="C16" s="39"/>
      <c r="D16" s="39"/>
      <c r="E16" s="39"/>
      <c r="F16" s="40"/>
      <c r="G16" s="39"/>
      <c r="H16" s="39"/>
      <c r="I16" s="39"/>
      <c r="J16" s="39"/>
      <c r="K16" s="39"/>
      <c r="L16" s="40"/>
      <c r="M16" s="39"/>
      <c r="N16" s="41"/>
      <c r="O16" s="19"/>
      <c r="P16" s="19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5.0" customHeight="1">
      <c r="A17" s="42" t="s">
        <v>7</v>
      </c>
      <c r="B17" s="43" t="s">
        <v>31</v>
      </c>
      <c r="C17" s="44"/>
      <c r="D17" s="45"/>
      <c r="E17" s="46" t="s">
        <v>9</v>
      </c>
      <c r="F17" s="44"/>
      <c r="G17" s="45"/>
      <c r="H17" s="46" t="s">
        <v>10</v>
      </c>
      <c r="I17" s="44"/>
      <c r="J17" s="45"/>
      <c r="K17" s="46" t="s">
        <v>11</v>
      </c>
      <c r="L17" s="44"/>
      <c r="M17" s="45"/>
      <c r="N17" s="47" t="s">
        <v>12</v>
      </c>
      <c r="O17" s="48"/>
      <c r="P17" s="4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5.0" customHeight="1">
      <c r="A18" s="49"/>
      <c r="B18" s="50" t="s">
        <v>13</v>
      </c>
      <c r="C18" s="50" t="s">
        <v>14</v>
      </c>
      <c r="D18" s="52" t="s">
        <v>15</v>
      </c>
      <c r="E18" s="50" t="s">
        <v>13</v>
      </c>
      <c r="F18" s="50" t="s">
        <v>14</v>
      </c>
      <c r="G18" s="52" t="s">
        <v>15</v>
      </c>
      <c r="H18" s="50" t="s">
        <v>13</v>
      </c>
      <c r="I18" s="50" t="s">
        <v>14</v>
      </c>
      <c r="J18" s="52" t="s">
        <v>15</v>
      </c>
      <c r="K18" s="50" t="s">
        <v>13</v>
      </c>
      <c r="L18" s="50" t="s">
        <v>14</v>
      </c>
      <c r="M18" s="52" t="s">
        <v>15</v>
      </c>
      <c r="N18" s="53"/>
      <c r="O18" s="48"/>
      <c r="P18" s="4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5.0" customHeight="1">
      <c r="A19" s="54"/>
      <c r="B19" s="55" t="s">
        <v>32</v>
      </c>
      <c r="C19" s="55"/>
      <c r="D19" s="58"/>
      <c r="E19" s="55" t="s">
        <v>32</v>
      </c>
      <c r="F19" s="55"/>
      <c r="G19" s="58"/>
      <c r="H19" s="55" t="s">
        <v>32</v>
      </c>
      <c r="I19" s="55"/>
      <c r="J19" s="58"/>
      <c r="K19" s="55" t="s">
        <v>32</v>
      </c>
      <c r="L19" s="55"/>
      <c r="M19" s="58"/>
      <c r="N19" s="59"/>
      <c r="O19" s="60"/>
      <c r="P19" s="60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5.0" customHeight="1">
      <c r="A20" s="61">
        <v>45988.0</v>
      </c>
      <c r="B20" s="62">
        <v>2993.0</v>
      </c>
      <c r="C20" s="62"/>
      <c r="D20" s="63"/>
      <c r="E20" s="64">
        <f t="shared" ref="E20:E22" si="1">(B20-$B$20)*2.1</f>
        <v>0</v>
      </c>
      <c r="F20" s="74"/>
      <c r="G20" s="66"/>
      <c r="H20" s="64">
        <f t="shared" ref="H20:H22" si="2">E20*0.0980665</f>
        <v>0</v>
      </c>
      <c r="I20" s="74"/>
      <c r="J20" s="67"/>
      <c r="K20" s="64">
        <f t="shared" ref="K20:K22" si="3">(E20*119.8)/1000</f>
        <v>0</v>
      </c>
      <c r="L20" s="65"/>
      <c r="M20" s="67"/>
      <c r="N20" s="68"/>
      <c r="O20" s="69"/>
      <c r="P20" s="69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 ht="15.0" customHeight="1">
      <c r="A21" s="61">
        <v>45992.0</v>
      </c>
      <c r="B21" s="62">
        <v>3000.0</v>
      </c>
      <c r="C21" s="62"/>
      <c r="D21" s="63"/>
      <c r="E21" s="64">
        <f t="shared" si="1"/>
        <v>14.7</v>
      </c>
      <c r="F21" s="74"/>
      <c r="G21" s="66"/>
      <c r="H21" s="64">
        <f t="shared" si="2"/>
        <v>1.44157755</v>
      </c>
      <c r="I21" s="74"/>
      <c r="J21" s="67"/>
      <c r="K21" s="64">
        <f t="shared" si="3"/>
        <v>1.76106</v>
      </c>
      <c r="L21" s="65"/>
      <c r="M21" s="67"/>
      <c r="N21" s="68"/>
      <c r="O21" s="69"/>
      <c r="P21" s="69"/>
      <c r="Q21" s="70" t="s">
        <v>33</v>
      </c>
      <c r="R21" s="70"/>
      <c r="S21" s="70"/>
      <c r="T21" s="70"/>
      <c r="U21" s="70"/>
      <c r="V21" s="70"/>
      <c r="W21" s="70"/>
      <c r="X21" s="70"/>
      <c r="Y21" s="70"/>
      <c r="Z21" s="70"/>
    </row>
    <row r="22" ht="15.0" customHeight="1">
      <c r="A22" s="61">
        <v>45995.0</v>
      </c>
      <c r="B22" s="62">
        <v>3002.0</v>
      </c>
      <c r="C22" s="62"/>
      <c r="D22" s="63"/>
      <c r="E22" s="64">
        <f t="shared" si="1"/>
        <v>18.9</v>
      </c>
      <c r="F22" s="74"/>
      <c r="G22" s="66"/>
      <c r="H22" s="64">
        <f t="shared" si="2"/>
        <v>1.85345685</v>
      </c>
      <c r="I22" s="74"/>
      <c r="J22" s="67"/>
      <c r="K22" s="64">
        <f t="shared" si="3"/>
        <v>2.26422</v>
      </c>
      <c r="L22" s="65"/>
      <c r="M22" s="67"/>
      <c r="N22" s="68"/>
      <c r="O22" s="69"/>
      <c r="P22" s="69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 ht="15.0" customHeight="1">
      <c r="A23" s="61"/>
      <c r="B23" s="62"/>
      <c r="C23" s="62"/>
      <c r="D23" s="63"/>
      <c r="E23" s="64"/>
      <c r="F23" s="74"/>
      <c r="G23" s="66"/>
      <c r="H23" s="64"/>
      <c r="I23" s="74"/>
      <c r="J23" s="67"/>
      <c r="K23" s="64"/>
      <c r="L23" s="65"/>
      <c r="M23" s="67"/>
      <c r="N23" s="68"/>
      <c r="O23" s="69"/>
      <c r="P23" s="69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 ht="15.0" customHeight="1">
      <c r="A24" s="61"/>
      <c r="B24" s="62"/>
      <c r="C24" s="62"/>
      <c r="D24" s="63"/>
      <c r="E24" s="64"/>
      <c r="F24" s="74"/>
      <c r="G24" s="66"/>
      <c r="H24" s="64"/>
      <c r="I24" s="74"/>
      <c r="J24" s="67"/>
      <c r="K24" s="64"/>
      <c r="L24" s="65"/>
      <c r="M24" s="67"/>
      <c r="N24" s="68"/>
      <c r="O24" s="69"/>
      <c r="P24" s="69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 ht="15.0" customHeight="1">
      <c r="A25" s="61"/>
      <c r="B25" s="62"/>
      <c r="C25" s="62"/>
      <c r="D25" s="63"/>
      <c r="E25" s="64"/>
      <c r="F25" s="74"/>
      <c r="G25" s="66"/>
      <c r="H25" s="64"/>
      <c r="I25" s="74"/>
      <c r="J25" s="67"/>
      <c r="K25" s="64"/>
      <c r="L25" s="65"/>
      <c r="M25" s="67"/>
      <c r="N25" s="71"/>
      <c r="O25" s="72"/>
      <c r="P25" s="72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 ht="15.0" customHeight="1">
      <c r="A26" s="61"/>
      <c r="B26" s="62"/>
      <c r="C26" s="62"/>
      <c r="D26" s="63"/>
      <c r="E26" s="64"/>
      <c r="F26" s="74"/>
      <c r="G26" s="66"/>
      <c r="H26" s="64"/>
      <c r="I26" s="74"/>
      <c r="J26" s="67"/>
      <c r="K26" s="64"/>
      <c r="L26" s="65"/>
      <c r="M26" s="67"/>
      <c r="N26" s="71"/>
      <c r="O26" s="72"/>
      <c r="P26" s="72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ht="15.0" customHeight="1">
      <c r="A27" s="61"/>
      <c r="B27" s="62"/>
      <c r="C27" s="62"/>
      <c r="D27" s="62"/>
      <c r="E27" s="64"/>
      <c r="F27" s="74"/>
      <c r="G27" s="66"/>
      <c r="H27" s="64"/>
      <c r="I27" s="74"/>
      <c r="J27" s="67"/>
      <c r="K27" s="64"/>
      <c r="L27" s="65"/>
      <c r="M27" s="67"/>
      <c r="N27" s="71"/>
      <c r="O27" s="72"/>
      <c r="P27" s="72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ht="15.0" customHeight="1">
      <c r="A28" s="61"/>
      <c r="B28" s="62"/>
      <c r="C28" s="62"/>
      <c r="D28" s="62"/>
      <c r="E28" s="64"/>
      <c r="F28" s="74"/>
      <c r="G28" s="66"/>
      <c r="H28" s="64"/>
      <c r="I28" s="74"/>
      <c r="J28" s="67"/>
      <c r="K28" s="64"/>
      <c r="L28" s="65"/>
      <c r="M28" s="67"/>
      <c r="N28" s="71"/>
      <c r="O28" s="72"/>
      <c r="P28" s="72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 ht="15.0" customHeight="1">
      <c r="A29" s="61"/>
      <c r="B29" s="62"/>
      <c r="C29" s="62"/>
      <c r="D29" s="63"/>
      <c r="E29" s="64"/>
      <c r="F29" s="74"/>
      <c r="G29" s="66"/>
      <c r="H29" s="64"/>
      <c r="I29" s="65"/>
      <c r="J29" s="67"/>
      <c r="K29" s="64"/>
      <c r="L29" s="65"/>
      <c r="M29" s="67"/>
      <c r="N29" s="76"/>
      <c r="O29" s="72"/>
      <c r="P29" s="72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 ht="15.0" customHeight="1">
      <c r="A30" s="61"/>
      <c r="B30" s="62"/>
      <c r="C30" s="62"/>
      <c r="D30" s="63"/>
      <c r="E30" s="64"/>
      <c r="F30" s="74"/>
      <c r="G30" s="66"/>
      <c r="H30" s="64"/>
      <c r="I30" s="65"/>
      <c r="J30" s="67"/>
      <c r="K30" s="64"/>
      <c r="L30" s="65"/>
      <c r="M30" s="67"/>
      <c r="N30" s="71"/>
      <c r="O30" s="72"/>
      <c r="P30" s="72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 ht="15.0" customHeight="1">
      <c r="A31" s="61"/>
      <c r="B31" s="62"/>
      <c r="C31" s="62"/>
      <c r="D31" s="63"/>
      <c r="E31" s="64"/>
      <c r="F31" s="74"/>
      <c r="G31" s="66"/>
      <c r="H31" s="64"/>
      <c r="I31" s="65"/>
      <c r="J31" s="67"/>
      <c r="K31" s="64"/>
      <c r="L31" s="65"/>
      <c r="M31" s="67"/>
      <c r="N31" s="71"/>
      <c r="O31" s="72"/>
      <c r="P31" s="72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 ht="15.0" customHeight="1">
      <c r="A32" s="61"/>
      <c r="B32" s="62"/>
      <c r="C32" s="62"/>
      <c r="D32" s="63"/>
      <c r="E32" s="64"/>
      <c r="F32" s="65"/>
      <c r="G32" s="65"/>
      <c r="H32" s="64"/>
      <c r="I32" s="74"/>
      <c r="J32" s="75"/>
      <c r="K32" s="64"/>
      <c r="L32" s="75"/>
      <c r="M32" s="67"/>
      <c r="N32" s="76"/>
      <c r="O32" s="72"/>
      <c r="P32" s="72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ht="15.0" customHeight="1">
      <c r="A33" s="77"/>
      <c r="B33" s="78"/>
      <c r="C33" s="78"/>
      <c r="D33" s="78"/>
      <c r="E33" s="79"/>
      <c r="F33" s="80"/>
      <c r="G33" s="81"/>
      <c r="H33" s="79"/>
      <c r="I33" s="80"/>
      <c r="J33" s="82"/>
      <c r="K33" s="79"/>
      <c r="L33" s="83"/>
      <c r="M33" s="82"/>
      <c r="N33" s="71"/>
      <c r="O33" s="72"/>
      <c r="P33" s="72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 ht="15.0" customHeight="1">
      <c r="A34" s="77"/>
      <c r="B34" s="78"/>
      <c r="C34" s="78"/>
      <c r="D34" s="78"/>
      <c r="E34" s="79"/>
      <c r="F34" s="80"/>
      <c r="G34" s="81"/>
      <c r="H34" s="79"/>
      <c r="I34" s="80"/>
      <c r="J34" s="82"/>
      <c r="K34" s="79"/>
      <c r="L34" s="83"/>
      <c r="M34" s="82"/>
      <c r="N34" s="71"/>
      <c r="O34" s="72"/>
      <c r="P34" s="72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 ht="15.0" customHeight="1">
      <c r="A35" s="77"/>
      <c r="B35" s="78"/>
      <c r="C35" s="78"/>
      <c r="D35" s="78"/>
      <c r="E35" s="79"/>
      <c r="F35" s="80"/>
      <c r="G35" s="81"/>
      <c r="H35" s="79"/>
      <c r="I35" s="80"/>
      <c r="J35" s="82"/>
      <c r="K35" s="79"/>
      <c r="L35" s="83"/>
      <c r="M35" s="82"/>
      <c r="N35" s="71"/>
      <c r="O35" s="72"/>
      <c r="P35" s="72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 ht="15.0" customHeight="1">
      <c r="A36" s="77"/>
      <c r="B36" s="78"/>
      <c r="C36" s="78"/>
      <c r="D36" s="78"/>
      <c r="E36" s="79"/>
      <c r="F36" s="80"/>
      <c r="G36" s="81"/>
      <c r="H36" s="79"/>
      <c r="I36" s="80"/>
      <c r="J36" s="82"/>
      <c r="K36" s="79"/>
      <c r="L36" s="83"/>
      <c r="M36" s="82"/>
      <c r="N36" s="71"/>
      <c r="O36" s="72"/>
      <c r="P36" s="72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 ht="15.0" customHeight="1">
      <c r="A37" s="77"/>
      <c r="B37" s="78"/>
      <c r="C37" s="78"/>
      <c r="D37" s="78"/>
      <c r="E37" s="79"/>
      <c r="F37" s="80"/>
      <c r="G37" s="81"/>
      <c r="H37" s="79"/>
      <c r="I37" s="80"/>
      <c r="J37" s="82"/>
      <c r="K37" s="79"/>
      <c r="L37" s="83"/>
      <c r="M37" s="82"/>
      <c r="N37" s="71"/>
      <c r="O37" s="72"/>
      <c r="P37" s="72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ht="15.0" customHeight="1">
      <c r="A38" s="77"/>
      <c r="B38" s="78"/>
      <c r="C38" s="78"/>
      <c r="D38" s="78"/>
      <c r="E38" s="79"/>
      <c r="F38" s="80"/>
      <c r="G38" s="81"/>
      <c r="H38" s="79"/>
      <c r="I38" s="80"/>
      <c r="J38" s="82"/>
      <c r="K38" s="79"/>
      <c r="L38" s="83"/>
      <c r="M38" s="82"/>
      <c r="N38" s="71"/>
      <c r="O38" s="72"/>
      <c r="P38" s="72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ht="15.0" customHeight="1">
      <c r="A39" s="77"/>
      <c r="B39" s="78"/>
      <c r="C39" s="78"/>
      <c r="D39" s="78"/>
      <c r="E39" s="79"/>
      <c r="F39" s="80"/>
      <c r="G39" s="81"/>
      <c r="H39" s="79"/>
      <c r="I39" s="80"/>
      <c r="J39" s="82"/>
      <c r="K39" s="79"/>
      <c r="L39" s="83"/>
      <c r="M39" s="82"/>
      <c r="N39" s="71"/>
      <c r="O39" s="72"/>
      <c r="P39" s="72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 ht="15.0" customHeight="1">
      <c r="A40" s="77"/>
      <c r="B40" s="78"/>
      <c r="C40" s="78"/>
      <c r="D40" s="78"/>
      <c r="E40" s="79"/>
      <c r="F40" s="80"/>
      <c r="G40" s="81"/>
      <c r="H40" s="79"/>
      <c r="I40" s="80"/>
      <c r="J40" s="82"/>
      <c r="K40" s="79"/>
      <c r="L40" s="83"/>
      <c r="M40" s="82"/>
      <c r="N40" s="71"/>
      <c r="O40" s="72"/>
      <c r="P40" s="72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ht="15.0" customHeight="1">
      <c r="A41" s="77"/>
      <c r="B41" s="78"/>
      <c r="C41" s="78"/>
      <c r="D41" s="78"/>
      <c r="E41" s="79"/>
      <c r="F41" s="80"/>
      <c r="G41" s="81"/>
      <c r="H41" s="79"/>
      <c r="I41" s="80"/>
      <c r="J41" s="82"/>
      <c r="K41" s="79"/>
      <c r="L41" s="83"/>
      <c r="M41" s="82"/>
      <c r="N41" s="71"/>
      <c r="O41" s="72"/>
      <c r="P41" s="72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 ht="15.0" customHeight="1">
      <c r="A42" s="77"/>
      <c r="B42" s="78"/>
      <c r="C42" s="78"/>
      <c r="D42" s="78"/>
      <c r="E42" s="79"/>
      <c r="F42" s="80"/>
      <c r="G42" s="81"/>
      <c r="H42" s="79"/>
      <c r="I42" s="80"/>
      <c r="J42" s="82"/>
      <c r="K42" s="79"/>
      <c r="L42" s="83"/>
      <c r="M42" s="82"/>
      <c r="N42" s="71"/>
      <c r="O42" s="72"/>
      <c r="P42" s="72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 ht="15.0" customHeight="1">
      <c r="A43" s="77"/>
      <c r="B43" s="78"/>
      <c r="C43" s="78"/>
      <c r="D43" s="78"/>
      <c r="E43" s="79"/>
      <c r="F43" s="80"/>
      <c r="G43" s="81"/>
      <c r="H43" s="79"/>
      <c r="I43" s="80"/>
      <c r="J43" s="82"/>
      <c r="K43" s="79"/>
      <c r="L43" s="83"/>
      <c r="M43" s="82"/>
      <c r="N43" s="71"/>
      <c r="O43" s="72"/>
      <c r="P43" s="72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ht="15.0" customHeight="1">
      <c r="A44" s="77"/>
      <c r="B44" s="78"/>
      <c r="C44" s="78"/>
      <c r="D44" s="78"/>
      <c r="E44" s="79"/>
      <c r="F44" s="80"/>
      <c r="G44" s="81"/>
      <c r="H44" s="79"/>
      <c r="I44" s="80"/>
      <c r="J44" s="82"/>
      <c r="K44" s="79"/>
      <c r="L44" s="83"/>
      <c r="M44" s="82"/>
      <c r="N44" s="71"/>
      <c r="O44" s="72"/>
      <c r="P44" s="72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ht="15.0" customHeight="1">
      <c r="A45" s="77"/>
      <c r="B45" s="78"/>
      <c r="C45" s="78"/>
      <c r="D45" s="78"/>
      <c r="E45" s="79"/>
      <c r="F45" s="80"/>
      <c r="G45" s="81"/>
      <c r="H45" s="79"/>
      <c r="I45" s="80"/>
      <c r="J45" s="82"/>
      <c r="K45" s="79"/>
      <c r="L45" s="83"/>
      <c r="M45" s="82"/>
      <c r="N45" s="71"/>
      <c r="O45" s="72"/>
      <c r="P45" s="72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ht="15.0" customHeight="1">
      <c r="A46" s="77"/>
      <c r="B46" s="78"/>
      <c r="C46" s="78"/>
      <c r="D46" s="78"/>
      <c r="E46" s="79"/>
      <c r="F46" s="80"/>
      <c r="G46" s="81"/>
      <c r="H46" s="79"/>
      <c r="I46" s="80"/>
      <c r="J46" s="82"/>
      <c r="K46" s="79"/>
      <c r="L46" s="83"/>
      <c r="M46" s="82"/>
      <c r="N46" s="71"/>
      <c r="O46" s="72"/>
      <c r="P46" s="72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ht="15.0" customHeight="1">
      <c r="A47" s="77"/>
      <c r="B47" s="78"/>
      <c r="C47" s="78"/>
      <c r="D47" s="78"/>
      <c r="E47" s="79"/>
      <c r="F47" s="80"/>
      <c r="G47" s="81"/>
      <c r="H47" s="79"/>
      <c r="I47" s="80"/>
      <c r="J47" s="82"/>
      <c r="K47" s="79"/>
      <c r="L47" s="83"/>
      <c r="M47" s="82"/>
      <c r="N47" s="71"/>
      <c r="O47" s="72"/>
      <c r="P47" s="72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 ht="15.0" customHeight="1">
      <c r="A48" s="77"/>
      <c r="B48" s="78"/>
      <c r="C48" s="78"/>
      <c r="D48" s="78"/>
      <c r="E48" s="79"/>
      <c r="F48" s="80"/>
      <c r="G48" s="81"/>
      <c r="H48" s="79"/>
      <c r="I48" s="80"/>
      <c r="J48" s="82"/>
      <c r="K48" s="79"/>
      <c r="L48" s="83"/>
      <c r="M48" s="82"/>
      <c r="N48" s="71"/>
      <c r="O48" s="72"/>
      <c r="P48" s="72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 ht="15.0" customHeight="1">
      <c r="A49" s="77"/>
      <c r="B49" s="78"/>
      <c r="C49" s="78"/>
      <c r="D49" s="78"/>
      <c r="E49" s="79"/>
      <c r="F49" s="80"/>
      <c r="G49" s="81"/>
      <c r="H49" s="79"/>
      <c r="I49" s="80"/>
      <c r="J49" s="82"/>
      <c r="K49" s="79"/>
      <c r="L49" s="83"/>
      <c r="M49" s="82"/>
      <c r="N49" s="71"/>
      <c r="O49" s="72"/>
      <c r="P49" s="72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 ht="15.0" customHeight="1">
      <c r="A50" s="77"/>
      <c r="B50" s="78"/>
      <c r="C50" s="78"/>
      <c r="D50" s="78"/>
      <c r="E50" s="79"/>
      <c r="F50" s="80"/>
      <c r="G50" s="81"/>
      <c r="H50" s="79"/>
      <c r="I50" s="80"/>
      <c r="J50" s="82"/>
      <c r="K50" s="79"/>
      <c r="L50" s="83"/>
      <c r="M50" s="82"/>
      <c r="N50" s="71"/>
      <c r="O50" s="72"/>
      <c r="P50" s="72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ht="15.0" customHeight="1">
      <c r="A51" s="77"/>
      <c r="B51" s="78"/>
      <c r="C51" s="78"/>
      <c r="D51" s="78"/>
      <c r="E51" s="79"/>
      <c r="F51" s="80"/>
      <c r="G51" s="81"/>
      <c r="H51" s="79"/>
      <c r="I51" s="80"/>
      <c r="J51" s="82"/>
      <c r="K51" s="79"/>
      <c r="L51" s="83"/>
      <c r="M51" s="82"/>
      <c r="N51" s="71"/>
      <c r="O51" s="72"/>
      <c r="P51" s="72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 ht="15.0" customHeight="1">
      <c r="A52" s="77"/>
      <c r="B52" s="78"/>
      <c r="C52" s="78"/>
      <c r="D52" s="78"/>
      <c r="E52" s="79"/>
      <c r="F52" s="80"/>
      <c r="G52" s="81"/>
      <c r="H52" s="79"/>
      <c r="I52" s="80"/>
      <c r="J52" s="82"/>
      <c r="K52" s="79"/>
      <c r="L52" s="83"/>
      <c r="M52" s="82"/>
      <c r="N52" s="71"/>
      <c r="O52" s="72"/>
      <c r="P52" s="72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ht="15.0" customHeight="1">
      <c r="A53" s="77"/>
      <c r="B53" s="78"/>
      <c r="C53" s="78"/>
      <c r="D53" s="78"/>
      <c r="E53" s="79"/>
      <c r="F53" s="80"/>
      <c r="G53" s="81"/>
      <c r="H53" s="79"/>
      <c r="I53" s="80"/>
      <c r="J53" s="82"/>
      <c r="K53" s="79"/>
      <c r="L53" s="83"/>
      <c r="M53" s="82"/>
      <c r="N53" s="71"/>
      <c r="O53" s="72"/>
      <c r="P53" s="72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ht="15.0" customHeight="1">
      <c r="A54" s="77"/>
      <c r="B54" s="78"/>
      <c r="C54" s="78"/>
      <c r="D54" s="78"/>
      <c r="E54" s="79"/>
      <c r="F54" s="80"/>
      <c r="G54" s="81"/>
      <c r="H54" s="79"/>
      <c r="I54" s="80"/>
      <c r="J54" s="82"/>
      <c r="K54" s="79"/>
      <c r="L54" s="83"/>
      <c r="M54" s="82"/>
      <c r="N54" s="71"/>
      <c r="O54" s="72"/>
      <c r="P54" s="72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ht="15.0" customHeight="1">
      <c r="A55" s="77"/>
      <c r="B55" s="78"/>
      <c r="C55" s="78"/>
      <c r="D55" s="78"/>
      <c r="E55" s="79"/>
      <c r="F55" s="80"/>
      <c r="G55" s="81"/>
      <c r="H55" s="79"/>
      <c r="I55" s="80"/>
      <c r="J55" s="82"/>
      <c r="K55" s="79"/>
      <c r="L55" s="83"/>
      <c r="M55" s="82"/>
      <c r="N55" s="71"/>
      <c r="O55" s="72"/>
      <c r="P55" s="72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 ht="15.0" customHeight="1">
      <c r="A56" s="77"/>
      <c r="B56" s="78"/>
      <c r="C56" s="78"/>
      <c r="D56" s="78"/>
      <c r="E56" s="79"/>
      <c r="F56" s="80"/>
      <c r="G56" s="81"/>
      <c r="H56" s="79"/>
      <c r="I56" s="80"/>
      <c r="J56" s="82"/>
      <c r="K56" s="79"/>
      <c r="L56" s="83"/>
      <c r="M56" s="82"/>
      <c r="N56" s="71"/>
      <c r="O56" s="72"/>
      <c r="P56" s="72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 ht="15.0" customHeight="1">
      <c r="A57" s="77"/>
      <c r="B57" s="78"/>
      <c r="C57" s="78"/>
      <c r="D57" s="78"/>
      <c r="E57" s="79"/>
      <c r="F57" s="80"/>
      <c r="G57" s="81"/>
      <c r="H57" s="79"/>
      <c r="I57" s="80"/>
      <c r="J57" s="82"/>
      <c r="K57" s="79"/>
      <c r="L57" s="83"/>
      <c r="M57" s="82"/>
      <c r="N57" s="71"/>
      <c r="O57" s="72"/>
      <c r="P57" s="72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ht="15.0" customHeight="1">
      <c r="A58" s="77"/>
      <c r="B58" s="78"/>
      <c r="C58" s="78"/>
      <c r="D58" s="78"/>
      <c r="E58" s="79"/>
      <c r="F58" s="80"/>
      <c r="G58" s="81"/>
      <c r="H58" s="79"/>
      <c r="I58" s="80"/>
      <c r="J58" s="82"/>
      <c r="K58" s="79"/>
      <c r="L58" s="83"/>
      <c r="M58" s="82"/>
      <c r="N58" s="71"/>
      <c r="O58" s="72"/>
      <c r="P58" s="72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ht="15.0" customHeight="1">
      <c r="A59" s="77"/>
      <c r="B59" s="78"/>
      <c r="C59" s="78"/>
      <c r="D59" s="78"/>
      <c r="E59" s="79"/>
      <c r="F59" s="80"/>
      <c r="G59" s="81"/>
      <c r="H59" s="79"/>
      <c r="I59" s="80"/>
      <c r="J59" s="82"/>
      <c r="K59" s="79"/>
      <c r="L59" s="83"/>
      <c r="M59" s="82"/>
      <c r="N59" s="71"/>
      <c r="O59" s="72"/>
      <c r="P59" s="72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ht="15.0" customHeight="1">
      <c r="A60" s="77"/>
      <c r="B60" s="78"/>
      <c r="C60" s="78"/>
      <c r="D60" s="78"/>
      <c r="E60" s="79"/>
      <c r="F60" s="80"/>
      <c r="G60" s="81"/>
      <c r="H60" s="79"/>
      <c r="I60" s="80"/>
      <c r="J60" s="82"/>
      <c r="K60" s="79"/>
      <c r="L60" s="83"/>
      <c r="M60" s="82"/>
      <c r="N60" s="71"/>
      <c r="O60" s="72"/>
      <c r="P60" s="72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ht="15.0" customHeight="1">
      <c r="A61" s="77"/>
      <c r="B61" s="78"/>
      <c r="C61" s="78"/>
      <c r="D61" s="78"/>
      <c r="E61" s="79"/>
      <c r="F61" s="80"/>
      <c r="G61" s="81"/>
      <c r="H61" s="79"/>
      <c r="I61" s="80"/>
      <c r="J61" s="82"/>
      <c r="K61" s="79"/>
      <c r="L61" s="83"/>
      <c r="M61" s="82"/>
      <c r="N61" s="71"/>
      <c r="O61" s="72"/>
      <c r="P61" s="72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ht="15.0" customHeight="1">
      <c r="A62" s="77"/>
      <c r="B62" s="78"/>
      <c r="C62" s="78"/>
      <c r="D62" s="78"/>
      <c r="E62" s="79"/>
      <c r="F62" s="80"/>
      <c r="G62" s="81"/>
      <c r="H62" s="79"/>
      <c r="I62" s="80"/>
      <c r="J62" s="82"/>
      <c r="K62" s="79"/>
      <c r="L62" s="83"/>
      <c r="M62" s="82"/>
      <c r="N62" s="71"/>
      <c r="O62" s="72"/>
      <c r="P62" s="72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ht="15.0" customHeight="1">
      <c r="A63" s="77"/>
      <c r="B63" s="78"/>
      <c r="C63" s="78"/>
      <c r="D63" s="78"/>
      <c r="E63" s="79"/>
      <c r="F63" s="80"/>
      <c r="G63" s="81"/>
      <c r="H63" s="79"/>
      <c r="I63" s="80"/>
      <c r="J63" s="82"/>
      <c r="K63" s="79"/>
      <c r="L63" s="83"/>
      <c r="M63" s="82"/>
      <c r="N63" s="71"/>
      <c r="O63" s="72"/>
      <c r="P63" s="72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ht="15.0" customHeight="1">
      <c r="A64" s="77"/>
      <c r="B64" s="78"/>
      <c r="C64" s="78"/>
      <c r="D64" s="78"/>
      <c r="E64" s="79"/>
      <c r="F64" s="80"/>
      <c r="G64" s="81"/>
      <c r="H64" s="79"/>
      <c r="I64" s="80"/>
      <c r="J64" s="82"/>
      <c r="K64" s="79"/>
      <c r="L64" s="83"/>
      <c r="M64" s="82"/>
      <c r="N64" s="71"/>
      <c r="O64" s="72"/>
      <c r="P64" s="72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ht="15.0" customHeight="1">
      <c r="A65" s="77"/>
      <c r="B65" s="78"/>
      <c r="C65" s="78"/>
      <c r="D65" s="78"/>
      <c r="E65" s="79"/>
      <c r="F65" s="80"/>
      <c r="G65" s="81"/>
      <c r="H65" s="79"/>
      <c r="I65" s="80"/>
      <c r="J65" s="82"/>
      <c r="K65" s="79"/>
      <c r="L65" s="83"/>
      <c r="M65" s="82"/>
      <c r="N65" s="71"/>
      <c r="O65" s="72"/>
      <c r="P65" s="72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 ht="15.0" customHeight="1">
      <c r="A66" s="77"/>
      <c r="B66" s="78"/>
      <c r="C66" s="78"/>
      <c r="D66" s="78"/>
      <c r="E66" s="79"/>
      <c r="F66" s="80"/>
      <c r="G66" s="81"/>
      <c r="H66" s="79"/>
      <c r="I66" s="80"/>
      <c r="J66" s="82"/>
      <c r="K66" s="79"/>
      <c r="L66" s="83"/>
      <c r="M66" s="82"/>
      <c r="N66" s="71"/>
      <c r="O66" s="72"/>
      <c r="P66" s="72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ht="15.0" customHeight="1">
      <c r="A67" s="77"/>
      <c r="B67" s="78"/>
      <c r="C67" s="78"/>
      <c r="D67" s="78"/>
      <c r="E67" s="79"/>
      <c r="F67" s="80"/>
      <c r="G67" s="81"/>
      <c r="H67" s="79"/>
      <c r="I67" s="80"/>
      <c r="J67" s="82"/>
      <c r="K67" s="79"/>
      <c r="L67" s="83"/>
      <c r="M67" s="82"/>
      <c r="N67" s="71"/>
      <c r="O67" s="72"/>
      <c r="P67" s="72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ht="15.0" customHeight="1">
      <c r="A68" s="77"/>
      <c r="B68" s="78"/>
      <c r="C68" s="78"/>
      <c r="D68" s="78"/>
      <c r="E68" s="79"/>
      <c r="F68" s="80"/>
      <c r="G68" s="81"/>
      <c r="H68" s="79"/>
      <c r="I68" s="80"/>
      <c r="J68" s="82"/>
      <c r="K68" s="79"/>
      <c r="L68" s="83"/>
      <c r="M68" s="82"/>
      <c r="N68" s="71"/>
      <c r="O68" s="72"/>
      <c r="P68" s="72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ht="15.0" customHeight="1">
      <c r="A69" s="77"/>
      <c r="B69" s="78"/>
      <c r="C69" s="78"/>
      <c r="D69" s="78"/>
      <c r="E69" s="79"/>
      <c r="F69" s="80"/>
      <c r="G69" s="81"/>
      <c r="H69" s="79"/>
      <c r="I69" s="80"/>
      <c r="J69" s="82"/>
      <c r="K69" s="79"/>
      <c r="L69" s="83"/>
      <c r="M69" s="82"/>
      <c r="N69" s="71"/>
      <c r="O69" s="72"/>
      <c r="P69" s="72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ht="15.0" customHeight="1">
      <c r="A70" s="77"/>
      <c r="B70" s="78"/>
      <c r="C70" s="78"/>
      <c r="D70" s="84"/>
      <c r="E70" s="79"/>
      <c r="F70" s="80"/>
      <c r="G70" s="81"/>
      <c r="H70" s="79"/>
      <c r="I70" s="80"/>
      <c r="J70" s="82"/>
      <c r="K70" s="79"/>
      <c r="L70" s="83"/>
      <c r="M70" s="82"/>
      <c r="N70" s="71"/>
      <c r="O70" s="72"/>
      <c r="P70" s="72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ht="15.0" customHeight="1">
      <c r="A71" s="77"/>
      <c r="B71" s="78"/>
      <c r="C71" s="78"/>
      <c r="D71" s="84"/>
      <c r="E71" s="79"/>
      <c r="F71" s="80"/>
      <c r="G71" s="81"/>
      <c r="H71" s="79"/>
      <c r="I71" s="80"/>
      <c r="J71" s="82"/>
      <c r="K71" s="79"/>
      <c r="L71" s="83"/>
      <c r="M71" s="82"/>
      <c r="N71" s="71"/>
      <c r="O71" s="72"/>
      <c r="P71" s="72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ht="15.0" customHeight="1">
      <c r="A72" s="77"/>
      <c r="B72" s="78"/>
      <c r="C72" s="78"/>
      <c r="D72" s="84"/>
      <c r="E72" s="79"/>
      <c r="F72" s="80"/>
      <c r="G72" s="81"/>
      <c r="H72" s="79"/>
      <c r="I72" s="80"/>
      <c r="J72" s="82"/>
      <c r="K72" s="79"/>
      <c r="L72" s="83"/>
      <c r="M72" s="82"/>
      <c r="N72" s="71"/>
      <c r="O72" s="72"/>
      <c r="P72" s="72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ht="15.0" customHeight="1">
      <c r="A73" s="77"/>
      <c r="B73" s="78"/>
      <c r="C73" s="78"/>
      <c r="D73" s="84"/>
      <c r="E73" s="79"/>
      <c r="F73" s="80"/>
      <c r="G73" s="81"/>
      <c r="H73" s="79"/>
      <c r="I73" s="80"/>
      <c r="J73" s="82"/>
      <c r="K73" s="79"/>
      <c r="L73" s="83"/>
      <c r="M73" s="82"/>
      <c r="N73" s="71"/>
      <c r="O73" s="72"/>
      <c r="P73" s="72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ht="15.0" customHeight="1">
      <c r="A74" s="77"/>
      <c r="B74" s="78"/>
      <c r="C74" s="78"/>
      <c r="D74" s="84"/>
      <c r="E74" s="79"/>
      <c r="F74" s="80"/>
      <c r="G74" s="81"/>
      <c r="H74" s="79"/>
      <c r="I74" s="80"/>
      <c r="J74" s="82"/>
      <c r="K74" s="79"/>
      <c r="L74" s="83"/>
      <c r="M74" s="82"/>
      <c r="N74" s="71"/>
      <c r="O74" s="72"/>
      <c r="P74" s="72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ht="15.0" customHeight="1">
      <c r="A75" s="77"/>
      <c r="B75" s="78"/>
      <c r="C75" s="78"/>
      <c r="D75" s="84"/>
      <c r="E75" s="79"/>
      <c r="F75" s="80"/>
      <c r="G75" s="81"/>
      <c r="H75" s="79"/>
      <c r="I75" s="80"/>
      <c r="J75" s="82"/>
      <c r="K75" s="79"/>
      <c r="L75" s="83"/>
      <c r="M75" s="82"/>
      <c r="N75" s="71"/>
      <c r="O75" s="72"/>
      <c r="P75" s="72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ht="15.0" customHeight="1">
      <c r="A76" s="77"/>
      <c r="B76" s="78"/>
      <c r="C76" s="78"/>
      <c r="D76" s="84"/>
      <c r="E76" s="79"/>
      <c r="F76" s="80"/>
      <c r="G76" s="81"/>
      <c r="H76" s="79"/>
      <c r="I76" s="80"/>
      <c r="J76" s="82"/>
      <c r="K76" s="79"/>
      <c r="L76" s="83"/>
      <c r="M76" s="82"/>
      <c r="N76" s="71"/>
      <c r="O76" s="72"/>
      <c r="P76" s="72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ht="15.0" customHeight="1">
      <c r="A77" s="77"/>
      <c r="B77" s="78"/>
      <c r="C77" s="78"/>
      <c r="D77" s="84"/>
      <c r="E77" s="79"/>
      <c r="F77" s="80"/>
      <c r="G77" s="81"/>
      <c r="H77" s="79"/>
      <c r="I77" s="80"/>
      <c r="J77" s="82"/>
      <c r="K77" s="79"/>
      <c r="L77" s="83"/>
      <c r="M77" s="82"/>
      <c r="N77" s="71"/>
      <c r="O77" s="72"/>
      <c r="P77" s="72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ht="15.0" customHeight="1">
      <c r="A78" s="77"/>
      <c r="B78" s="78"/>
      <c r="C78" s="78"/>
      <c r="D78" s="84"/>
      <c r="E78" s="79"/>
      <c r="F78" s="80"/>
      <c r="G78" s="81"/>
      <c r="H78" s="79"/>
      <c r="I78" s="80"/>
      <c r="J78" s="82"/>
      <c r="K78" s="79"/>
      <c r="L78" s="83"/>
      <c r="M78" s="82"/>
      <c r="N78" s="71"/>
      <c r="O78" s="72"/>
      <c r="P78" s="72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ht="15.0" customHeight="1">
      <c r="A79" s="77"/>
      <c r="B79" s="78"/>
      <c r="C79" s="78"/>
      <c r="D79" s="84"/>
      <c r="E79" s="79"/>
      <c r="F79" s="80"/>
      <c r="G79" s="81"/>
      <c r="H79" s="79"/>
      <c r="I79" s="80"/>
      <c r="J79" s="82"/>
      <c r="K79" s="79"/>
      <c r="L79" s="83"/>
      <c r="M79" s="82"/>
      <c r="N79" s="71"/>
      <c r="O79" s="72"/>
      <c r="P79" s="72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ht="15.0" customHeight="1">
      <c r="A80" s="85"/>
      <c r="B80" s="78"/>
      <c r="C80" s="78"/>
      <c r="D80" s="84"/>
      <c r="E80" s="83"/>
      <c r="F80" s="80"/>
      <c r="G80" s="82"/>
      <c r="H80" s="83"/>
      <c r="I80" s="80"/>
      <c r="J80" s="82"/>
      <c r="K80" s="83"/>
      <c r="L80" s="80"/>
      <c r="M80" s="82"/>
      <c r="N80" s="71"/>
      <c r="O80" s="72"/>
      <c r="P80" s="72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ht="15.0" customHeight="1">
      <c r="A81" s="85"/>
      <c r="B81" s="78"/>
      <c r="C81" s="78"/>
      <c r="D81" s="84"/>
      <c r="E81" s="83"/>
      <c r="F81" s="80"/>
      <c r="G81" s="82"/>
      <c r="H81" s="83"/>
      <c r="I81" s="80"/>
      <c r="J81" s="82"/>
      <c r="K81" s="83"/>
      <c r="L81" s="80"/>
      <c r="M81" s="82"/>
      <c r="N81" s="86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5.0" customHeight="1">
      <c r="A82" s="85"/>
      <c r="B82" s="78"/>
      <c r="C82" s="78"/>
      <c r="D82" s="84"/>
      <c r="E82" s="83"/>
      <c r="F82" s="80"/>
      <c r="G82" s="82"/>
      <c r="H82" s="83"/>
      <c r="I82" s="80"/>
      <c r="J82" s="82"/>
      <c r="K82" s="83"/>
      <c r="L82" s="80"/>
      <c r="M82" s="82"/>
      <c r="N82" s="86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5.0" customHeight="1">
      <c r="A83" s="85"/>
      <c r="B83" s="78"/>
      <c r="C83" s="78"/>
      <c r="D83" s="84"/>
      <c r="E83" s="83"/>
      <c r="F83" s="80"/>
      <c r="G83" s="82"/>
      <c r="H83" s="83"/>
      <c r="I83" s="80"/>
      <c r="J83" s="82"/>
      <c r="K83" s="83"/>
      <c r="L83" s="80"/>
      <c r="M83" s="82"/>
      <c r="N83" s="86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5.0" customHeight="1">
      <c r="A84" s="85"/>
      <c r="B84" s="78"/>
      <c r="C84" s="78"/>
      <c r="D84" s="84"/>
      <c r="E84" s="83"/>
      <c r="F84" s="80"/>
      <c r="G84" s="82"/>
      <c r="H84" s="83"/>
      <c r="I84" s="80"/>
      <c r="J84" s="82"/>
      <c r="K84" s="83"/>
      <c r="L84" s="80"/>
      <c r="M84" s="82"/>
      <c r="N84" s="86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5.0" customHeight="1">
      <c r="A85" s="85"/>
      <c r="B85" s="78"/>
      <c r="C85" s="78"/>
      <c r="D85" s="84"/>
      <c r="E85" s="83"/>
      <c r="F85" s="80"/>
      <c r="G85" s="82"/>
      <c r="H85" s="83"/>
      <c r="I85" s="80"/>
      <c r="J85" s="82"/>
      <c r="K85" s="83"/>
      <c r="L85" s="80"/>
      <c r="M85" s="82"/>
      <c r="N85" s="86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5.0" customHeight="1">
      <c r="A86" s="85"/>
      <c r="B86" s="78"/>
      <c r="C86" s="78"/>
      <c r="D86" s="84"/>
      <c r="E86" s="83"/>
      <c r="F86" s="80"/>
      <c r="G86" s="82"/>
      <c r="H86" s="83"/>
      <c r="I86" s="80"/>
      <c r="J86" s="82"/>
      <c r="K86" s="83"/>
      <c r="L86" s="80"/>
      <c r="M86" s="82"/>
      <c r="N86" s="86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5.0" customHeight="1">
      <c r="A87" s="85"/>
      <c r="B87" s="78"/>
      <c r="C87" s="78"/>
      <c r="D87" s="84"/>
      <c r="E87" s="83"/>
      <c r="F87" s="80"/>
      <c r="G87" s="82"/>
      <c r="H87" s="83"/>
      <c r="I87" s="80"/>
      <c r="J87" s="82"/>
      <c r="K87" s="83"/>
      <c r="L87" s="80"/>
      <c r="M87" s="82"/>
      <c r="N87" s="86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5.0" customHeight="1">
      <c r="A88" s="85"/>
      <c r="B88" s="78"/>
      <c r="C88" s="78"/>
      <c r="D88" s="84"/>
      <c r="E88" s="83"/>
      <c r="F88" s="80"/>
      <c r="G88" s="82"/>
      <c r="H88" s="83"/>
      <c r="I88" s="80"/>
      <c r="J88" s="82"/>
      <c r="K88" s="83"/>
      <c r="L88" s="80"/>
      <c r="M88" s="82"/>
      <c r="N88" s="86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5.0" customHeight="1">
      <c r="A89" s="85"/>
      <c r="B89" s="78"/>
      <c r="C89" s="78"/>
      <c r="D89" s="84"/>
      <c r="E89" s="83"/>
      <c r="F89" s="80"/>
      <c r="G89" s="82"/>
      <c r="H89" s="83"/>
      <c r="I89" s="80"/>
      <c r="J89" s="82"/>
      <c r="K89" s="83"/>
      <c r="L89" s="80"/>
      <c r="M89" s="82"/>
      <c r="N89" s="86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5.0" customHeight="1">
      <c r="A90" s="85"/>
      <c r="B90" s="78"/>
      <c r="C90" s="78"/>
      <c r="D90" s="84"/>
      <c r="E90" s="83"/>
      <c r="F90" s="80"/>
      <c r="G90" s="82"/>
      <c r="H90" s="83"/>
      <c r="I90" s="80"/>
      <c r="J90" s="82"/>
      <c r="K90" s="83"/>
      <c r="L90" s="80"/>
      <c r="M90" s="82"/>
      <c r="N90" s="86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5.0" customHeight="1">
      <c r="A91" s="85"/>
      <c r="B91" s="78"/>
      <c r="C91" s="78"/>
      <c r="D91" s="84"/>
      <c r="E91" s="83"/>
      <c r="F91" s="80"/>
      <c r="G91" s="82"/>
      <c r="H91" s="83"/>
      <c r="I91" s="80"/>
      <c r="J91" s="82"/>
      <c r="K91" s="83"/>
      <c r="L91" s="80"/>
      <c r="M91" s="82"/>
      <c r="N91" s="86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5.0" customHeight="1">
      <c r="A92" s="85"/>
      <c r="B92" s="78"/>
      <c r="C92" s="78"/>
      <c r="D92" s="84"/>
      <c r="E92" s="83"/>
      <c r="F92" s="80"/>
      <c r="G92" s="82"/>
      <c r="H92" s="83"/>
      <c r="I92" s="80"/>
      <c r="J92" s="82"/>
      <c r="K92" s="83"/>
      <c r="L92" s="80"/>
      <c r="M92" s="82"/>
      <c r="N92" s="86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5.0" customHeight="1">
      <c r="A93" s="85"/>
      <c r="B93" s="78"/>
      <c r="C93" s="78"/>
      <c r="D93" s="84"/>
      <c r="E93" s="83"/>
      <c r="F93" s="80"/>
      <c r="G93" s="82"/>
      <c r="H93" s="83"/>
      <c r="I93" s="80"/>
      <c r="J93" s="82"/>
      <c r="K93" s="83"/>
      <c r="L93" s="80"/>
      <c r="M93" s="82"/>
      <c r="N93" s="86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5.0" customHeight="1">
      <c r="A94" s="85"/>
      <c r="B94" s="78"/>
      <c r="C94" s="78"/>
      <c r="D94" s="84"/>
      <c r="E94" s="83"/>
      <c r="F94" s="80"/>
      <c r="G94" s="82"/>
      <c r="H94" s="83"/>
      <c r="I94" s="80"/>
      <c r="J94" s="82"/>
      <c r="K94" s="83"/>
      <c r="L94" s="80"/>
      <c r="M94" s="82"/>
      <c r="N94" s="86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5.0" customHeight="1">
      <c r="A95" s="85"/>
      <c r="B95" s="78"/>
      <c r="C95" s="78"/>
      <c r="D95" s="84"/>
      <c r="E95" s="83"/>
      <c r="F95" s="80"/>
      <c r="G95" s="82"/>
      <c r="H95" s="83"/>
      <c r="I95" s="80"/>
      <c r="J95" s="82"/>
      <c r="K95" s="83"/>
      <c r="L95" s="80"/>
      <c r="M95" s="82"/>
      <c r="N95" s="86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5.0" customHeight="1">
      <c r="A96" s="85"/>
      <c r="B96" s="78"/>
      <c r="C96" s="78"/>
      <c r="D96" s="84"/>
      <c r="E96" s="83"/>
      <c r="F96" s="80"/>
      <c r="G96" s="82"/>
      <c r="H96" s="83"/>
      <c r="I96" s="80"/>
      <c r="J96" s="82"/>
      <c r="K96" s="83"/>
      <c r="L96" s="80"/>
      <c r="M96" s="82"/>
      <c r="N96" s="86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5.0" customHeight="1">
      <c r="A97" s="87"/>
      <c r="B97" s="87"/>
      <c r="C97" s="87"/>
      <c r="D97" s="88"/>
      <c r="E97" s="86"/>
      <c r="F97" s="87"/>
      <c r="G97" s="88"/>
      <c r="H97" s="86"/>
      <c r="I97" s="87"/>
      <c r="J97" s="88"/>
      <c r="K97" s="86"/>
      <c r="L97" s="87"/>
      <c r="M97" s="88"/>
      <c r="N97" s="86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5.0" customHeight="1">
      <c r="A98" s="87"/>
      <c r="B98" s="87"/>
      <c r="C98" s="87"/>
      <c r="D98" s="88"/>
      <c r="E98" s="86"/>
      <c r="F98" s="87"/>
      <c r="G98" s="88"/>
      <c r="H98" s="86"/>
      <c r="I98" s="87"/>
      <c r="J98" s="88"/>
      <c r="K98" s="86"/>
      <c r="L98" s="87"/>
      <c r="M98" s="88"/>
      <c r="N98" s="86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5.0" customHeight="1">
      <c r="A99" s="87"/>
      <c r="B99" s="87"/>
      <c r="C99" s="87"/>
      <c r="D99" s="88"/>
      <c r="E99" s="86"/>
      <c r="F99" s="87"/>
      <c r="G99" s="88"/>
      <c r="H99" s="86"/>
      <c r="I99" s="87"/>
      <c r="J99" s="88"/>
      <c r="K99" s="86"/>
      <c r="L99" s="87"/>
      <c r="M99" s="88"/>
      <c r="N99" s="86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5.0" customHeight="1">
      <c r="A100" s="87"/>
      <c r="B100" s="87"/>
      <c r="C100" s="87"/>
      <c r="D100" s="88"/>
      <c r="E100" s="86"/>
      <c r="F100" s="87"/>
      <c r="G100" s="88"/>
      <c r="H100" s="86"/>
      <c r="I100" s="87"/>
      <c r="J100" s="88"/>
      <c r="K100" s="86"/>
      <c r="L100" s="87"/>
      <c r="M100" s="88"/>
      <c r="N100" s="86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5.0" customHeight="1">
      <c r="A101" s="87"/>
      <c r="B101" s="87"/>
      <c r="C101" s="87"/>
      <c r="D101" s="88"/>
      <c r="E101" s="86"/>
      <c r="F101" s="87"/>
      <c r="G101" s="88"/>
      <c r="H101" s="86"/>
      <c r="I101" s="87"/>
      <c r="J101" s="88"/>
      <c r="K101" s="86"/>
      <c r="L101" s="87"/>
      <c r="M101" s="88"/>
      <c r="N101" s="86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5.0" customHeight="1">
      <c r="A102" s="87"/>
      <c r="B102" s="87"/>
      <c r="C102" s="87"/>
      <c r="D102" s="88"/>
      <c r="E102" s="86"/>
      <c r="F102" s="87"/>
      <c r="G102" s="88"/>
      <c r="H102" s="86"/>
      <c r="I102" s="87"/>
      <c r="J102" s="88"/>
      <c r="K102" s="86"/>
      <c r="L102" s="87"/>
      <c r="M102" s="88"/>
      <c r="N102" s="86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5.0" customHeight="1">
      <c r="A103" s="87"/>
      <c r="B103" s="87"/>
      <c r="C103" s="87"/>
      <c r="D103" s="88"/>
      <c r="E103" s="86"/>
      <c r="F103" s="87"/>
      <c r="G103" s="88"/>
      <c r="H103" s="86"/>
      <c r="I103" s="87"/>
      <c r="J103" s="88"/>
      <c r="K103" s="86"/>
      <c r="L103" s="87"/>
      <c r="M103" s="88"/>
      <c r="N103" s="86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5.0" customHeight="1">
      <c r="A104" s="87"/>
      <c r="B104" s="87"/>
      <c r="C104" s="87"/>
      <c r="D104" s="88"/>
      <c r="E104" s="86"/>
      <c r="F104" s="87"/>
      <c r="G104" s="88"/>
      <c r="H104" s="86"/>
      <c r="I104" s="87"/>
      <c r="J104" s="88"/>
      <c r="K104" s="86"/>
      <c r="L104" s="87"/>
      <c r="M104" s="88"/>
      <c r="N104" s="86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5.0" customHeight="1">
      <c r="A105" s="87"/>
      <c r="B105" s="87"/>
      <c r="C105" s="87"/>
      <c r="D105" s="88"/>
      <c r="E105" s="86"/>
      <c r="F105" s="87"/>
      <c r="G105" s="88"/>
      <c r="H105" s="86"/>
      <c r="I105" s="87"/>
      <c r="J105" s="88"/>
      <c r="K105" s="86"/>
      <c r="L105" s="87"/>
      <c r="M105" s="88"/>
      <c r="N105" s="86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5.0" customHeight="1">
      <c r="A106" s="87"/>
      <c r="B106" s="87"/>
      <c r="C106" s="87"/>
      <c r="D106" s="88"/>
      <c r="E106" s="86"/>
      <c r="F106" s="87"/>
      <c r="G106" s="88"/>
      <c r="H106" s="86"/>
      <c r="I106" s="87"/>
      <c r="J106" s="88"/>
      <c r="K106" s="86"/>
      <c r="L106" s="87"/>
      <c r="M106" s="88"/>
      <c r="N106" s="86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5.0" customHeight="1">
      <c r="A107" s="87"/>
      <c r="B107" s="87"/>
      <c r="C107" s="87"/>
      <c r="D107" s="88"/>
      <c r="E107" s="86"/>
      <c r="F107" s="87"/>
      <c r="G107" s="88"/>
      <c r="H107" s="86"/>
      <c r="I107" s="87"/>
      <c r="J107" s="88"/>
      <c r="K107" s="86"/>
      <c r="L107" s="87"/>
      <c r="M107" s="88"/>
      <c r="N107" s="86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5.0" customHeight="1">
      <c r="A108" s="87"/>
      <c r="B108" s="87"/>
      <c r="C108" s="87"/>
      <c r="D108" s="88"/>
      <c r="E108" s="86"/>
      <c r="F108" s="87"/>
      <c r="G108" s="88"/>
      <c r="H108" s="86"/>
      <c r="I108" s="87"/>
      <c r="J108" s="88"/>
      <c r="K108" s="86"/>
      <c r="L108" s="87"/>
      <c r="M108" s="88"/>
      <c r="N108" s="86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5.0" customHeight="1">
      <c r="A109" s="87"/>
      <c r="B109" s="87"/>
      <c r="C109" s="87"/>
      <c r="D109" s="88"/>
      <c r="E109" s="86"/>
      <c r="F109" s="87"/>
      <c r="G109" s="88"/>
      <c r="H109" s="86"/>
      <c r="I109" s="87"/>
      <c r="J109" s="88"/>
      <c r="K109" s="86"/>
      <c r="L109" s="87"/>
      <c r="M109" s="88"/>
      <c r="N109" s="86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5.0" customHeight="1">
      <c r="A110" s="87"/>
      <c r="B110" s="87"/>
      <c r="C110" s="87"/>
      <c r="D110" s="88"/>
      <c r="E110" s="86"/>
      <c r="F110" s="87"/>
      <c r="G110" s="88"/>
      <c r="H110" s="86"/>
      <c r="I110" s="87"/>
      <c r="J110" s="88"/>
      <c r="K110" s="86"/>
      <c r="L110" s="87"/>
      <c r="M110" s="88"/>
      <c r="N110" s="86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5.0" customHeight="1">
      <c r="A111" s="87"/>
      <c r="B111" s="87"/>
      <c r="C111" s="87"/>
      <c r="D111" s="88"/>
      <c r="E111" s="86"/>
      <c r="F111" s="87"/>
      <c r="G111" s="88"/>
      <c r="H111" s="86"/>
      <c r="I111" s="87"/>
      <c r="J111" s="88"/>
      <c r="K111" s="86"/>
      <c r="L111" s="87"/>
      <c r="M111" s="88"/>
      <c r="N111" s="86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5.0" customHeight="1">
      <c r="A112" s="87"/>
      <c r="B112" s="87"/>
      <c r="C112" s="87"/>
      <c r="D112" s="88"/>
      <c r="E112" s="86"/>
      <c r="F112" s="87"/>
      <c r="G112" s="88"/>
      <c r="H112" s="86"/>
      <c r="I112" s="87"/>
      <c r="J112" s="88"/>
      <c r="K112" s="86"/>
      <c r="L112" s="87"/>
      <c r="M112" s="88"/>
      <c r="N112" s="86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5.0" customHeight="1">
      <c r="A113" s="87"/>
      <c r="B113" s="87"/>
      <c r="C113" s="87"/>
      <c r="D113" s="88"/>
      <c r="E113" s="86"/>
      <c r="F113" s="87"/>
      <c r="G113" s="88"/>
      <c r="H113" s="86"/>
      <c r="I113" s="87"/>
      <c r="J113" s="88"/>
      <c r="K113" s="86"/>
      <c r="L113" s="87"/>
      <c r="M113" s="88"/>
      <c r="N113" s="86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5.0" customHeight="1">
      <c r="A114" s="87"/>
      <c r="B114" s="87"/>
      <c r="C114" s="87"/>
      <c r="D114" s="88"/>
      <c r="E114" s="86"/>
      <c r="F114" s="87"/>
      <c r="G114" s="88"/>
      <c r="H114" s="86"/>
      <c r="I114" s="87"/>
      <c r="J114" s="88"/>
      <c r="K114" s="86"/>
      <c r="L114" s="87"/>
      <c r="M114" s="88"/>
      <c r="N114" s="86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5.0" customHeight="1">
      <c r="A115" s="87"/>
      <c r="B115" s="87"/>
      <c r="C115" s="87"/>
      <c r="D115" s="88"/>
      <c r="E115" s="86"/>
      <c r="F115" s="87"/>
      <c r="G115" s="88"/>
      <c r="H115" s="86"/>
      <c r="I115" s="87"/>
      <c r="J115" s="88"/>
      <c r="K115" s="86"/>
      <c r="L115" s="87"/>
      <c r="M115" s="88"/>
      <c r="N115" s="86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5.0" customHeight="1">
      <c r="A116" s="87"/>
      <c r="B116" s="87"/>
      <c r="C116" s="87"/>
      <c r="D116" s="88"/>
      <c r="E116" s="86"/>
      <c r="F116" s="87"/>
      <c r="G116" s="88"/>
      <c r="H116" s="86"/>
      <c r="I116" s="87"/>
      <c r="J116" s="88"/>
      <c r="K116" s="86"/>
      <c r="L116" s="87"/>
      <c r="M116" s="88"/>
      <c r="N116" s="86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5.0" customHeight="1">
      <c r="A117" s="87"/>
      <c r="B117" s="87"/>
      <c r="C117" s="87"/>
      <c r="D117" s="88"/>
      <c r="E117" s="86"/>
      <c r="F117" s="87"/>
      <c r="G117" s="88"/>
      <c r="H117" s="86"/>
      <c r="I117" s="87"/>
      <c r="J117" s="88"/>
      <c r="K117" s="86"/>
      <c r="L117" s="87"/>
      <c r="M117" s="88"/>
      <c r="N117" s="86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5.0" customHeight="1">
      <c r="A118" s="87"/>
      <c r="B118" s="87"/>
      <c r="C118" s="87"/>
      <c r="D118" s="88"/>
      <c r="E118" s="86"/>
      <c r="F118" s="87"/>
      <c r="G118" s="88"/>
      <c r="H118" s="86"/>
      <c r="I118" s="87"/>
      <c r="J118" s="88"/>
      <c r="K118" s="86"/>
      <c r="L118" s="87"/>
      <c r="M118" s="88"/>
      <c r="N118" s="86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5.0" customHeight="1">
      <c r="A119" s="87"/>
      <c r="B119" s="87"/>
      <c r="C119" s="87"/>
      <c r="D119" s="88"/>
      <c r="E119" s="86"/>
      <c r="F119" s="87"/>
      <c r="G119" s="88"/>
      <c r="H119" s="86"/>
      <c r="I119" s="87"/>
      <c r="J119" s="88"/>
      <c r="K119" s="86"/>
      <c r="L119" s="87"/>
      <c r="M119" s="88"/>
      <c r="N119" s="86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5.0" customHeight="1">
      <c r="A120" s="87"/>
      <c r="B120" s="87"/>
      <c r="C120" s="87"/>
      <c r="D120" s="88"/>
      <c r="E120" s="86"/>
      <c r="F120" s="87"/>
      <c r="G120" s="88"/>
      <c r="H120" s="86"/>
      <c r="I120" s="87"/>
      <c r="J120" s="88"/>
      <c r="K120" s="86"/>
      <c r="L120" s="87"/>
      <c r="M120" s="88"/>
      <c r="N120" s="86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5.0" customHeight="1">
      <c r="A121" s="87"/>
      <c r="B121" s="87"/>
      <c r="C121" s="87"/>
      <c r="D121" s="88"/>
      <c r="E121" s="86"/>
      <c r="F121" s="87"/>
      <c r="G121" s="88"/>
      <c r="H121" s="86"/>
      <c r="I121" s="87"/>
      <c r="J121" s="88"/>
      <c r="K121" s="86"/>
      <c r="L121" s="87"/>
      <c r="M121" s="88"/>
      <c r="N121" s="86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6.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6.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6.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6.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6.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6.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6.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6.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6.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6.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6.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6.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6.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6.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6.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6.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6.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6.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6.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6.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6.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6.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6.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6.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6.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6.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6.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6.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6.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6.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6.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6.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6.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6.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6.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6.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6.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6.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6.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6.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6.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6.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6.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6.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6.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6.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6.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6.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6.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6.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6.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6.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6.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6.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6.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6.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6.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6.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6.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6.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6.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6.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6.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6.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6.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6.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6.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6.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6.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6.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6.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6.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6.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6.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6.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6.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6.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6.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6.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6.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6.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6.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6.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6.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6.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6.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6.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6.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6.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6.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6.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6.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6.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6.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6.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6.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6.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6.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6.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6.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6.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6.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6.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6.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6.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6.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6.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6.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6.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6.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6.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6.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6.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6.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6.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6.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6.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6.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6.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6.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6.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6.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6.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6.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6.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6.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6.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6.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6.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6.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6.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6.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6.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6.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6.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6.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6.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6.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6.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6.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6.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6.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6.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6.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6.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6.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6.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6.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6.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6.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6.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6.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6.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6.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6.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6.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6.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6.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6.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6.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6.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6.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6.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6.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6.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6.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6.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6.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6.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6.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6.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6.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6.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6.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6.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6.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6.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6.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6.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6.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6.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6.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16.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16.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16.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16.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16.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16.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16.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16.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16.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16.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16.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16.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16.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16.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16.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16.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16.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16.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16.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16.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16.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16.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16.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16.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16.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16.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16.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16.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16.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16.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16.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16.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16.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16.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16.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16.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16.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16.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16.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16.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16.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16.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16.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16.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16.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16.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16.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16.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16.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16.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16.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16.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16.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16.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16.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16.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16.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16.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16.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16.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16.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16.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16.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16.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16.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16.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16.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16.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16.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16.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16.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16.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16.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16.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16.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16.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16.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16.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16.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16.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16.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16.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16.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16.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16.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16.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16.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16.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16.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16.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16.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16.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16.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16.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16.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16.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16.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16.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16.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16.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16.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16.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16.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16.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16.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16.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16.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16.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16.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16.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16.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16.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16.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16.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16.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16.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16.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16.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16.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16.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16.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16.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16.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16.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16.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16.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16.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16.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16.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16.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16.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16.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16.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16.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16.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16.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16.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16.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16.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16.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16.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16.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16.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16.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16.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16.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16.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16.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16.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16.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16.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16.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16.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16.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16.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16.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16.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16.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16.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16.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16.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16.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16.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16.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16.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16.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16.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16.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16.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16.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16.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16.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16.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16.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16.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16.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16.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16.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16.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16.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ht="16.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ht="16.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ht="16.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ht="16.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ht="16.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ht="16.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ht="16.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ht="16.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ht="16.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ht="16.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ht="16.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ht="16.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ht="16.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ht="16.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ht="16.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ht="16.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ht="16.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ht="16.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ht="16.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ht="16.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ht="16.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ht="16.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ht="16.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ht="16.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ht="16.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ht="16.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ht="16.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ht="16.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ht="16.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ht="16.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ht="16.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ht="16.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ht="16.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ht="16.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ht="16.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ht="16.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ht="16.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ht="16.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ht="16.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ht="16.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ht="16.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ht="16.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ht="16.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ht="16.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ht="16.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6.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ht="16.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ht="16.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ht="16.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ht="16.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ht="16.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ht="16.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ht="16.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ht="16.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ht="16.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ht="16.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ht="16.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ht="16.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ht="16.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ht="16.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ht="16.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ht="16.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ht="16.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ht="16.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ht="16.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ht="16.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ht="16.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ht="16.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ht="16.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ht="16.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ht="16.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ht="16.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ht="16.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ht="16.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ht="16.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ht="16.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ht="16.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ht="16.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ht="16.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ht="16.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ht="16.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ht="16.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ht="16.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ht="16.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ht="16.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ht="16.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ht="16.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ht="16.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ht="16.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ht="16.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ht="16.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ht="16.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ht="16.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ht="16.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ht="16.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ht="16.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ht="16.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ht="16.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ht="16.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ht="16.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ht="16.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ht="16.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ht="16.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ht="16.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ht="16.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ht="16.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ht="16.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ht="16.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ht="16.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ht="16.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ht="16.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ht="16.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ht="16.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ht="16.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ht="16.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ht="16.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ht="16.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ht="16.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ht="16.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ht="16.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ht="16.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ht="16.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ht="16.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ht="16.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ht="16.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ht="16.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ht="16.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ht="16.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ht="16.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ht="16.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ht="16.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ht="16.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ht="16.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ht="16.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ht="16.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ht="16.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ht="16.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ht="16.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ht="16.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ht="16.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ht="16.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ht="16.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ht="16.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ht="16.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ht="16.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ht="16.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ht="16.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ht="16.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ht="16.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ht="16.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ht="16.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ht="16.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ht="16.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ht="16.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ht="16.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ht="16.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ht="16.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ht="16.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ht="16.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ht="16.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ht="16.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ht="16.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ht="16.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ht="16.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ht="16.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ht="16.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ht="16.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ht="16.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ht="16.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ht="16.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ht="16.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ht="16.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ht="16.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ht="16.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ht="16.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ht="16.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ht="16.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ht="16.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ht="16.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ht="16.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ht="16.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ht="16.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ht="16.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ht="16.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ht="16.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ht="16.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ht="16.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ht="16.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ht="16.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ht="16.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ht="16.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ht="16.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ht="16.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ht="16.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ht="16.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ht="16.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ht="16.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ht="16.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ht="16.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ht="16.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ht="16.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ht="16.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ht="16.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ht="16.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ht="16.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ht="16.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ht="16.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ht="16.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ht="16.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ht="16.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ht="16.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ht="16.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ht="16.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ht="16.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ht="16.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ht="16.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ht="16.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ht="16.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ht="16.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ht="16.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ht="16.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ht="16.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ht="16.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ht="16.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ht="16.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ht="16.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ht="16.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ht="16.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ht="16.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ht="16.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ht="16.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ht="16.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ht="16.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ht="16.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ht="16.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ht="16.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ht="16.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ht="16.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ht="16.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ht="16.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ht="16.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ht="16.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ht="16.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ht="16.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ht="16.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ht="16.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ht="16.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ht="16.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ht="16.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ht="16.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ht="16.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ht="16.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ht="16.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ht="16.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ht="16.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ht="16.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ht="16.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ht="16.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ht="16.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ht="16.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ht="16.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ht="16.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ht="16.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ht="16.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ht="16.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ht="16.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ht="16.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ht="16.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ht="16.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ht="16.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ht="16.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ht="16.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ht="16.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ht="16.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ht="16.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ht="16.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ht="16.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ht="16.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ht="16.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ht="16.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ht="16.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ht="16.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ht="16.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ht="16.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ht="16.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ht="16.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ht="16.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ht="16.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ht="16.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ht="16.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ht="16.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ht="16.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ht="16.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ht="16.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ht="16.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ht="16.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ht="16.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ht="16.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ht="16.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ht="16.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ht="16.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ht="16.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ht="16.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ht="16.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ht="16.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ht="16.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ht="16.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ht="16.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ht="16.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ht="16.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ht="16.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ht="16.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ht="16.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ht="16.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ht="16.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ht="16.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ht="16.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ht="16.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ht="16.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ht="16.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ht="16.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ht="16.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ht="16.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ht="16.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ht="16.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ht="16.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ht="16.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ht="16.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ht="16.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ht="16.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ht="16.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ht="16.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ht="16.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ht="16.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ht="16.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ht="16.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ht="16.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ht="16.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ht="16.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ht="16.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ht="16.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ht="16.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ht="16.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ht="16.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ht="16.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ht="16.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ht="16.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ht="16.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ht="16.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ht="16.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ht="16.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ht="16.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ht="16.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ht="16.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ht="16.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ht="16.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ht="16.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ht="16.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ht="16.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ht="16.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ht="16.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ht="16.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ht="16.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ht="16.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ht="16.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ht="16.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ht="16.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ht="16.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ht="16.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ht="16.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ht="16.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ht="16.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ht="16.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ht="16.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ht="16.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ht="16.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ht="16.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ht="16.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ht="16.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ht="16.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ht="16.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ht="16.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ht="16.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ht="16.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ht="16.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ht="16.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ht="16.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ht="16.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ht="16.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ht="16.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ht="16.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ht="16.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ht="16.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ht="16.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ht="16.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ht="16.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ht="16.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ht="16.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ht="16.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ht="16.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ht="16.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ht="16.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ht="16.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ht="16.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ht="16.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ht="16.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ht="16.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ht="16.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ht="16.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ht="16.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ht="16.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ht="16.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ht="16.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ht="16.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ht="16.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ht="16.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ht="16.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ht="16.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ht="16.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ht="16.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ht="16.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ht="16.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ht="16.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ht="16.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ht="16.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ht="16.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ht="16.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ht="16.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ht="16.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ht="16.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ht="16.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ht="16.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ht="16.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ht="16.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ht="16.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ht="16.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ht="16.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ht="16.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ht="16.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ht="16.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ht="16.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ht="16.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ht="16.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ht="16.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ht="16.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ht="16.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ht="16.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ht="16.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ht="16.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ht="16.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ht="16.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ht="16.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ht="16.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ht="16.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ht="16.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ht="16.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ht="16.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ht="16.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ht="16.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ht="16.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ht="16.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ht="16.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ht="16.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ht="16.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ht="16.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ht="16.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ht="16.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ht="16.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ht="16.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ht="16.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ht="16.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ht="16.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ht="16.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ht="16.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ht="16.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ht="16.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ht="16.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ht="16.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ht="16.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ht="16.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ht="16.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ht="16.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ht="16.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ht="16.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ht="16.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ht="16.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ht="16.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ht="16.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ht="16.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ht="16.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ht="16.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ht="16.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ht="16.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ht="16.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ht="16.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ht="16.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ht="16.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ht="16.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ht="16.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ht="16.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ht="16.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ht="16.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ht="16.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ht="16.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ht="16.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ht="16.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ht="16.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ht="16.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ht="16.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ht="16.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ht="16.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ht="16.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ht="16.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ht="16.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ht="16.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ht="16.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ht="16.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mergeCells count="7">
    <mergeCell ref="A1:N1"/>
    <mergeCell ref="A17:A19"/>
    <mergeCell ref="B17:D17"/>
    <mergeCell ref="E17:G17"/>
    <mergeCell ref="H17:J17"/>
    <mergeCell ref="K17:M17"/>
    <mergeCell ref="N17:N19"/>
  </mergeCells>
  <printOptions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13" width="5.29"/>
    <col customWidth="1" min="14" max="14" width="3.71"/>
    <col customWidth="1" min="15" max="16" width="0.86"/>
    <col customWidth="1" min="17" max="26" width="8.86"/>
  </cols>
  <sheetData>
    <row r="1" ht="19.5" customHeight="1">
      <c r="A1" s="15" t="s">
        <v>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  <c r="O1" s="18"/>
      <c r="P1" s="18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4.5" customHeight="1">
      <c r="A2" s="20"/>
      <c r="B2" s="21"/>
      <c r="C2" s="22"/>
      <c r="D2" s="22"/>
      <c r="E2" s="22"/>
      <c r="F2" s="23"/>
      <c r="G2" s="22"/>
      <c r="H2" s="21"/>
      <c r="I2" s="22"/>
      <c r="J2" s="22"/>
      <c r="K2" s="22"/>
      <c r="L2" s="23"/>
      <c r="M2" s="22"/>
      <c r="N2" s="24"/>
      <c r="O2" s="22"/>
      <c r="P2" s="22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5.0" customHeight="1">
      <c r="A3" s="25" t="str">
        <f>'S1-1,3 STRUT (3) 배면 좌'!A3</f>
        <v>현  장  명 : 용산구 한남동 383일대 근린생활시설 신축공사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7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15.0" customHeight="1">
      <c r="A4" s="25" t="s">
        <v>34</v>
      </c>
      <c r="B4" s="26"/>
      <c r="C4" s="26"/>
      <c r="D4" s="26"/>
      <c r="E4" s="26"/>
      <c r="F4" s="29"/>
      <c r="G4" s="26"/>
      <c r="H4" s="26"/>
      <c r="I4" s="26"/>
      <c r="J4" s="26"/>
      <c r="K4" s="26"/>
      <c r="L4" s="29"/>
      <c r="M4" s="26"/>
      <c r="N4" s="30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16.5" customHeight="1">
      <c r="A5" s="31"/>
      <c r="B5" s="32"/>
      <c r="C5" s="32"/>
      <c r="D5" s="32"/>
      <c r="E5" s="32"/>
      <c r="F5" s="33"/>
      <c r="G5" s="32"/>
      <c r="H5" s="32"/>
      <c r="I5" s="32"/>
      <c r="J5" s="32"/>
      <c r="K5" s="32"/>
      <c r="L5" s="33"/>
      <c r="M5" s="32"/>
      <c r="N5" s="34"/>
      <c r="O5" s="19"/>
      <c r="P5" s="19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6.5" customHeight="1">
      <c r="A6" s="35"/>
      <c r="B6" s="36"/>
      <c r="C6" s="36"/>
      <c r="D6" s="36"/>
      <c r="E6" s="36"/>
      <c r="F6" s="19"/>
      <c r="G6" s="36"/>
      <c r="H6" s="36"/>
      <c r="I6" s="36"/>
      <c r="J6" s="36"/>
      <c r="K6" s="36"/>
      <c r="L6" s="19"/>
      <c r="M6" s="36"/>
      <c r="N6" s="37"/>
      <c r="O6" s="19"/>
      <c r="P6" s="19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6.5" customHeight="1">
      <c r="A7" s="35"/>
      <c r="B7" s="36"/>
      <c r="C7" s="36"/>
      <c r="D7" s="36"/>
      <c r="E7" s="36"/>
      <c r="F7" s="19"/>
      <c r="G7" s="36"/>
      <c r="H7" s="36"/>
      <c r="I7" s="36"/>
      <c r="J7" s="36"/>
      <c r="K7" s="36"/>
      <c r="L7" s="19"/>
      <c r="M7" s="36"/>
      <c r="N7" s="37"/>
      <c r="O7" s="19"/>
      <c r="P7" s="19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16.5" customHeight="1">
      <c r="A8" s="35"/>
      <c r="B8" s="36"/>
      <c r="C8" s="36"/>
      <c r="D8" s="36"/>
      <c r="E8" s="36"/>
      <c r="F8" s="19"/>
      <c r="G8" s="36"/>
      <c r="H8" s="36"/>
      <c r="I8" s="36"/>
      <c r="J8" s="36"/>
      <c r="K8" s="36"/>
      <c r="L8" s="19"/>
      <c r="M8" s="36"/>
      <c r="N8" s="37"/>
      <c r="O8" s="19"/>
      <c r="P8" s="19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6.5" customHeight="1">
      <c r="A9" s="35"/>
      <c r="B9" s="36"/>
      <c r="C9" s="36"/>
      <c r="D9" s="36"/>
      <c r="E9" s="36"/>
      <c r="F9" s="19"/>
      <c r="G9" s="36"/>
      <c r="H9" s="36"/>
      <c r="I9" s="36"/>
      <c r="J9" s="36"/>
      <c r="K9" s="36"/>
      <c r="L9" s="19"/>
      <c r="M9" s="36"/>
      <c r="N9" s="37"/>
      <c r="O9" s="19"/>
      <c r="P9" s="19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6.5" customHeight="1">
      <c r="A10" s="35"/>
      <c r="B10" s="36"/>
      <c r="C10" s="36"/>
      <c r="D10" s="36"/>
      <c r="E10" s="36"/>
      <c r="F10" s="19"/>
      <c r="G10" s="36"/>
      <c r="H10" s="36"/>
      <c r="I10" s="36"/>
      <c r="J10" s="36"/>
      <c r="K10" s="36"/>
      <c r="L10" s="19"/>
      <c r="M10" s="36"/>
      <c r="N10" s="37"/>
      <c r="O10" s="19"/>
      <c r="P10" s="19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6.5" customHeight="1">
      <c r="A11" s="35"/>
      <c r="B11" s="36"/>
      <c r="C11" s="36"/>
      <c r="D11" s="36"/>
      <c r="E11" s="36"/>
      <c r="F11" s="19"/>
      <c r="G11" s="36"/>
      <c r="H11" s="36"/>
      <c r="I11" s="36"/>
      <c r="J11" s="36"/>
      <c r="K11" s="36"/>
      <c r="L11" s="19"/>
      <c r="M11" s="36"/>
      <c r="N11" s="37"/>
      <c r="O11" s="19"/>
      <c r="P11" s="19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6.5" customHeight="1">
      <c r="A12" s="35"/>
      <c r="B12" s="36"/>
      <c r="C12" s="36"/>
      <c r="D12" s="36"/>
      <c r="E12" s="36"/>
      <c r="F12" s="19"/>
      <c r="G12" s="36"/>
      <c r="H12" s="36"/>
      <c r="I12" s="36"/>
      <c r="J12" s="36"/>
      <c r="K12" s="36"/>
      <c r="L12" s="19"/>
      <c r="M12" s="36"/>
      <c r="N12" s="37"/>
      <c r="O12" s="19"/>
      <c r="P12" s="19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6.5" customHeight="1">
      <c r="A13" s="35"/>
      <c r="B13" s="36"/>
      <c r="C13" s="36"/>
      <c r="D13" s="36"/>
      <c r="E13" s="36"/>
      <c r="F13" s="19"/>
      <c r="G13" s="36"/>
      <c r="H13" s="36"/>
      <c r="I13" s="36"/>
      <c r="J13" s="36"/>
      <c r="K13" s="36"/>
      <c r="L13" s="19"/>
      <c r="M13" s="36"/>
      <c r="N13" s="37"/>
      <c r="O13" s="19"/>
      <c r="P13" s="19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6.5" customHeight="1">
      <c r="A14" s="35"/>
      <c r="B14" s="36"/>
      <c r="C14" s="36"/>
      <c r="D14" s="36"/>
      <c r="E14" s="36"/>
      <c r="F14" s="19"/>
      <c r="G14" s="36"/>
      <c r="H14" s="36"/>
      <c r="I14" s="36"/>
      <c r="J14" s="36"/>
      <c r="K14" s="36"/>
      <c r="L14" s="19"/>
      <c r="M14" s="36"/>
      <c r="N14" s="37"/>
      <c r="O14" s="19"/>
      <c r="P14" s="19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6.5" customHeight="1">
      <c r="A15" s="35"/>
      <c r="B15" s="36"/>
      <c r="C15" s="36"/>
      <c r="D15" s="36"/>
      <c r="E15" s="36"/>
      <c r="F15" s="19"/>
      <c r="G15" s="36"/>
      <c r="H15" s="36"/>
      <c r="I15" s="36"/>
      <c r="J15" s="36"/>
      <c r="K15" s="36"/>
      <c r="L15" s="19"/>
      <c r="M15" s="36"/>
      <c r="N15" s="37"/>
      <c r="O15" s="19"/>
      <c r="P15" s="19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6.5" customHeight="1">
      <c r="A16" s="38"/>
      <c r="B16" s="39"/>
      <c r="C16" s="39"/>
      <c r="D16" s="39"/>
      <c r="E16" s="39"/>
      <c r="F16" s="40"/>
      <c r="G16" s="39"/>
      <c r="H16" s="39"/>
      <c r="I16" s="39"/>
      <c r="J16" s="39"/>
      <c r="K16" s="39"/>
      <c r="L16" s="40"/>
      <c r="M16" s="39"/>
      <c r="N16" s="41"/>
      <c r="O16" s="19"/>
      <c r="P16" s="19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5.0" customHeight="1">
      <c r="A17" s="42" t="s">
        <v>7</v>
      </c>
      <c r="B17" s="43" t="s">
        <v>35</v>
      </c>
      <c r="C17" s="44"/>
      <c r="D17" s="45"/>
      <c r="E17" s="46" t="s">
        <v>9</v>
      </c>
      <c r="F17" s="44"/>
      <c r="G17" s="45"/>
      <c r="H17" s="46" t="s">
        <v>10</v>
      </c>
      <c r="I17" s="44"/>
      <c r="J17" s="45"/>
      <c r="K17" s="46" t="s">
        <v>11</v>
      </c>
      <c r="L17" s="44"/>
      <c r="M17" s="45"/>
      <c r="N17" s="47" t="s">
        <v>12</v>
      </c>
      <c r="O17" s="48"/>
      <c r="P17" s="4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5.0" customHeight="1">
      <c r="A18" s="49"/>
      <c r="B18" s="50" t="s">
        <v>13</v>
      </c>
      <c r="C18" s="50" t="s">
        <v>14</v>
      </c>
      <c r="D18" s="52" t="s">
        <v>15</v>
      </c>
      <c r="E18" s="50" t="s">
        <v>13</v>
      </c>
      <c r="F18" s="50" t="s">
        <v>14</v>
      </c>
      <c r="G18" s="52" t="s">
        <v>15</v>
      </c>
      <c r="H18" s="50" t="s">
        <v>13</v>
      </c>
      <c r="I18" s="50" t="s">
        <v>14</v>
      </c>
      <c r="J18" s="52" t="s">
        <v>15</v>
      </c>
      <c r="K18" s="50" t="s">
        <v>13</v>
      </c>
      <c r="L18" s="50" t="s">
        <v>14</v>
      </c>
      <c r="M18" s="52" t="s">
        <v>15</v>
      </c>
      <c r="N18" s="53"/>
      <c r="O18" s="48"/>
      <c r="P18" s="4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5.0" customHeight="1">
      <c r="A19" s="54"/>
      <c r="B19" s="55" t="s">
        <v>36</v>
      </c>
      <c r="C19" s="55"/>
      <c r="D19" s="58"/>
      <c r="E19" s="55" t="s">
        <v>36</v>
      </c>
      <c r="F19" s="55"/>
      <c r="G19" s="58"/>
      <c r="H19" s="55" t="s">
        <v>36</v>
      </c>
      <c r="I19" s="55"/>
      <c r="J19" s="58"/>
      <c r="K19" s="55" t="s">
        <v>36</v>
      </c>
      <c r="L19" s="55"/>
      <c r="M19" s="58"/>
      <c r="N19" s="59"/>
      <c r="O19" s="60"/>
      <c r="P19" s="60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5.0" customHeight="1">
      <c r="A20" s="61">
        <v>45988.0</v>
      </c>
      <c r="B20" s="62">
        <v>2963.0</v>
      </c>
      <c r="C20" s="62"/>
      <c r="D20" s="63"/>
      <c r="E20" s="64">
        <f t="shared" ref="E20:E22" si="1">(B20-$B$20)*2.1</f>
        <v>0</v>
      </c>
      <c r="F20" s="74"/>
      <c r="G20" s="66"/>
      <c r="H20" s="64">
        <f t="shared" ref="H20:H22" si="2">E20*0.0980665</f>
        <v>0</v>
      </c>
      <c r="I20" s="74"/>
      <c r="J20" s="67"/>
      <c r="K20" s="64">
        <f t="shared" ref="K20:K22" si="3">(E20*119.8)/1000</f>
        <v>0</v>
      </c>
      <c r="L20" s="65"/>
      <c r="M20" s="67"/>
      <c r="N20" s="68"/>
      <c r="O20" s="69"/>
      <c r="P20" s="69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 ht="15.0" customHeight="1">
      <c r="A21" s="61">
        <v>45992.0</v>
      </c>
      <c r="B21" s="62">
        <v>2962.0</v>
      </c>
      <c r="C21" s="62"/>
      <c r="D21" s="63"/>
      <c r="E21" s="64">
        <f t="shared" si="1"/>
        <v>-2.1</v>
      </c>
      <c r="F21" s="74"/>
      <c r="G21" s="66"/>
      <c r="H21" s="64">
        <f t="shared" si="2"/>
        <v>-0.20593965</v>
      </c>
      <c r="I21" s="74"/>
      <c r="J21" s="67"/>
      <c r="K21" s="64">
        <f t="shared" si="3"/>
        <v>-0.25158</v>
      </c>
      <c r="L21" s="65"/>
      <c r="M21" s="67"/>
      <c r="N21" s="68"/>
      <c r="O21" s="69"/>
      <c r="P21" s="69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 ht="15.0" customHeight="1">
      <c r="A22" s="61">
        <v>45995.0</v>
      </c>
      <c r="B22" s="62">
        <v>2958.0</v>
      </c>
      <c r="C22" s="62"/>
      <c r="D22" s="63"/>
      <c r="E22" s="64">
        <f t="shared" si="1"/>
        <v>-10.5</v>
      </c>
      <c r="F22" s="74"/>
      <c r="G22" s="66"/>
      <c r="H22" s="64">
        <f t="shared" si="2"/>
        <v>-1.02969825</v>
      </c>
      <c r="I22" s="74"/>
      <c r="J22" s="67"/>
      <c r="K22" s="64">
        <f t="shared" si="3"/>
        <v>-1.2579</v>
      </c>
      <c r="L22" s="65"/>
      <c r="M22" s="67"/>
      <c r="N22" s="68"/>
      <c r="O22" s="69"/>
      <c r="P22" s="69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 ht="15.0" customHeight="1">
      <c r="A23" s="61"/>
      <c r="B23" s="62"/>
      <c r="C23" s="62"/>
      <c r="D23" s="63"/>
      <c r="E23" s="64"/>
      <c r="F23" s="74"/>
      <c r="G23" s="66"/>
      <c r="H23" s="64"/>
      <c r="I23" s="74"/>
      <c r="J23" s="67"/>
      <c r="K23" s="64"/>
      <c r="L23" s="65"/>
      <c r="M23" s="67"/>
      <c r="N23" s="68"/>
      <c r="O23" s="69"/>
      <c r="P23" s="69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 ht="15.0" customHeight="1">
      <c r="A24" s="61"/>
      <c r="B24" s="62"/>
      <c r="C24" s="62"/>
      <c r="D24" s="63"/>
      <c r="E24" s="64"/>
      <c r="F24" s="74"/>
      <c r="G24" s="66"/>
      <c r="H24" s="64"/>
      <c r="I24" s="74"/>
      <c r="J24" s="67"/>
      <c r="K24" s="64"/>
      <c r="L24" s="65"/>
      <c r="M24" s="67"/>
      <c r="N24" s="68"/>
      <c r="O24" s="69"/>
      <c r="P24" s="69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 ht="15.0" customHeight="1">
      <c r="A25" s="61"/>
      <c r="B25" s="62"/>
      <c r="C25" s="62"/>
      <c r="D25" s="63"/>
      <c r="E25" s="64"/>
      <c r="F25" s="74"/>
      <c r="G25" s="66"/>
      <c r="H25" s="64"/>
      <c r="I25" s="74"/>
      <c r="J25" s="67"/>
      <c r="K25" s="64"/>
      <c r="L25" s="65"/>
      <c r="M25" s="67"/>
      <c r="N25" s="68"/>
      <c r="O25" s="72"/>
      <c r="P25" s="72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 ht="15.0" customHeight="1">
      <c r="A26" s="61"/>
      <c r="B26" s="62"/>
      <c r="C26" s="62"/>
      <c r="D26" s="62"/>
      <c r="E26" s="64"/>
      <c r="F26" s="74"/>
      <c r="G26" s="66"/>
      <c r="H26" s="64"/>
      <c r="I26" s="74"/>
      <c r="J26" s="67"/>
      <c r="K26" s="64"/>
      <c r="L26" s="65"/>
      <c r="M26" s="67"/>
      <c r="N26" s="68"/>
      <c r="O26" s="72"/>
      <c r="P26" s="72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ht="15.0" customHeight="1">
      <c r="A27" s="61"/>
      <c r="B27" s="62"/>
      <c r="C27" s="62"/>
      <c r="D27" s="62"/>
      <c r="E27" s="64"/>
      <c r="F27" s="74"/>
      <c r="G27" s="66"/>
      <c r="H27" s="64"/>
      <c r="I27" s="74"/>
      <c r="J27" s="67"/>
      <c r="K27" s="64"/>
      <c r="L27" s="65"/>
      <c r="M27" s="67"/>
      <c r="N27" s="68"/>
      <c r="O27" s="72"/>
      <c r="P27" s="72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ht="15.0" customHeight="1">
      <c r="A28" s="61"/>
      <c r="B28" s="62"/>
      <c r="C28" s="62"/>
      <c r="D28" s="63"/>
      <c r="E28" s="64"/>
      <c r="F28" s="65"/>
      <c r="G28" s="65"/>
      <c r="H28" s="64"/>
      <c r="I28" s="74"/>
      <c r="J28" s="67"/>
      <c r="K28" s="64"/>
      <c r="L28" s="65"/>
      <c r="M28" s="67"/>
      <c r="N28" s="76"/>
      <c r="O28" s="72"/>
      <c r="P28" s="72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 ht="15.0" customHeight="1">
      <c r="A29" s="61"/>
      <c r="B29" s="62"/>
      <c r="C29" s="62"/>
      <c r="D29" s="63"/>
      <c r="E29" s="64"/>
      <c r="F29" s="65"/>
      <c r="G29" s="65"/>
      <c r="H29" s="64"/>
      <c r="I29" s="74"/>
      <c r="J29" s="67"/>
      <c r="K29" s="64"/>
      <c r="L29" s="65"/>
      <c r="M29" s="67"/>
      <c r="N29" s="71"/>
      <c r="O29" s="72"/>
      <c r="P29" s="72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 ht="15.0" customHeight="1">
      <c r="A30" s="61"/>
      <c r="B30" s="62"/>
      <c r="C30" s="62"/>
      <c r="D30" s="63"/>
      <c r="E30" s="64"/>
      <c r="F30" s="65"/>
      <c r="G30" s="65"/>
      <c r="H30" s="64"/>
      <c r="I30" s="74"/>
      <c r="J30" s="75"/>
      <c r="K30" s="64"/>
      <c r="L30" s="75"/>
      <c r="M30" s="67"/>
      <c r="N30" s="76"/>
      <c r="O30" s="72"/>
      <c r="P30" s="72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 ht="15.0" customHeight="1">
      <c r="A31" s="61"/>
      <c r="B31" s="62"/>
      <c r="C31" s="62"/>
      <c r="D31" s="63"/>
      <c r="E31" s="64"/>
      <c r="F31" s="65"/>
      <c r="G31" s="65"/>
      <c r="H31" s="64"/>
      <c r="I31" s="74"/>
      <c r="J31" s="75"/>
      <c r="K31" s="64"/>
      <c r="L31" s="75"/>
      <c r="M31" s="67"/>
      <c r="N31" s="71"/>
      <c r="O31" s="72"/>
      <c r="P31" s="72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 ht="15.0" customHeight="1">
      <c r="A32" s="61"/>
      <c r="B32" s="62"/>
      <c r="C32" s="62"/>
      <c r="D32" s="63"/>
      <c r="E32" s="64"/>
      <c r="F32" s="65"/>
      <c r="G32" s="65"/>
      <c r="H32" s="64"/>
      <c r="I32" s="74"/>
      <c r="J32" s="75"/>
      <c r="K32" s="64"/>
      <c r="L32" s="75"/>
      <c r="M32" s="67"/>
      <c r="N32" s="71"/>
      <c r="O32" s="72"/>
      <c r="P32" s="72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ht="15.0" customHeight="1">
      <c r="A33" s="61"/>
      <c r="B33" s="62"/>
      <c r="C33" s="62"/>
      <c r="D33" s="63"/>
      <c r="E33" s="64"/>
      <c r="F33" s="65"/>
      <c r="G33" s="65"/>
      <c r="H33" s="64"/>
      <c r="I33" s="74"/>
      <c r="J33" s="75"/>
      <c r="K33" s="64"/>
      <c r="L33" s="75"/>
      <c r="M33" s="67"/>
      <c r="N33" s="76"/>
      <c r="O33" s="72"/>
      <c r="P33" s="72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 ht="15.0" customHeight="1">
      <c r="A34" s="77"/>
      <c r="B34" s="78"/>
      <c r="C34" s="78"/>
      <c r="D34" s="78"/>
      <c r="E34" s="79"/>
      <c r="F34" s="80"/>
      <c r="G34" s="81"/>
      <c r="H34" s="79"/>
      <c r="I34" s="80"/>
      <c r="J34" s="82"/>
      <c r="K34" s="79"/>
      <c r="L34" s="83"/>
      <c r="M34" s="82"/>
      <c r="N34" s="71"/>
      <c r="O34" s="72"/>
      <c r="P34" s="72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 ht="15.0" customHeight="1">
      <c r="A35" s="77"/>
      <c r="B35" s="78"/>
      <c r="C35" s="78"/>
      <c r="D35" s="78"/>
      <c r="E35" s="79"/>
      <c r="F35" s="80"/>
      <c r="G35" s="81"/>
      <c r="H35" s="79"/>
      <c r="I35" s="80"/>
      <c r="J35" s="82"/>
      <c r="K35" s="79"/>
      <c r="L35" s="83"/>
      <c r="M35" s="82"/>
      <c r="N35" s="71"/>
      <c r="O35" s="72"/>
      <c r="P35" s="72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 ht="15.0" customHeight="1">
      <c r="A36" s="77"/>
      <c r="B36" s="78"/>
      <c r="C36" s="78"/>
      <c r="D36" s="78"/>
      <c r="E36" s="79"/>
      <c r="F36" s="80"/>
      <c r="G36" s="81"/>
      <c r="H36" s="79"/>
      <c r="I36" s="80"/>
      <c r="J36" s="82"/>
      <c r="K36" s="79"/>
      <c r="L36" s="83"/>
      <c r="M36" s="82"/>
      <c r="N36" s="71"/>
      <c r="O36" s="72"/>
      <c r="P36" s="72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 ht="15.0" customHeight="1">
      <c r="A37" s="77"/>
      <c r="B37" s="78"/>
      <c r="C37" s="78"/>
      <c r="D37" s="78"/>
      <c r="E37" s="79"/>
      <c r="F37" s="80"/>
      <c r="G37" s="81"/>
      <c r="H37" s="79"/>
      <c r="I37" s="80"/>
      <c r="J37" s="82"/>
      <c r="K37" s="79"/>
      <c r="L37" s="83"/>
      <c r="M37" s="82"/>
      <c r="N37" s="71"/>
      <c r="O37" s="72"/>
      <c r="P37" s="72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ht="15.0" customHeight="1">
      <c r="A38" s="77"/>
      <c r="B38" s="78"/>
      <c r="C38" s="78"/>
      <c r="D38" s="78"/>
      <c r="E38" s="79"/>
      <c r="F38" s="80"/>
      <c r="G38" s="81"/>
      <c r="H38" s="79"/>
      <c r="I38" s="80"/>
      <c r="J38" s="82"/>
      <c r="K38" s="79"/>
      <c r="L38" s="83"/>
      <c r="M38" s="82"/>
      <c r="N38" s="71"/>
      <c r="O38" s="72"/>
      <c r="P38" s="72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ht="15.0" customHeight="1">
      <c r="A39" s="77"/>
      <c r="B39" s="78"/>
      <c r="C39" s="78"/>
      <c r="D39" s="78"/>
      <c r="E39" s="79"/>
      <c r="F39" s="80"/>
      <c r="G39" s="81"/>
      <c r="H39" s="79"/>
      <c r="I39" s="80"/>
      <c r="J39" s="82"/>
      <c r="K39" s="79"/>
      <c r="L39" s="83"/>
      <c r="M39" s="82"/>
      <c r="N39" s="71"/>
      <c r="O39" s="72"/>
      <c r="P39" s="72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 ht="15.0" customHeight="1">
      <c r="A40" s="77"/>
      <c r="B40" s="78"/>
      <c r="C40" s="78"/>
      <c r="D40" s="78"/>
      <c r="E40" s="79"/>
      <c r="F40" s="80"/>
      <c r="G40" s="81"/>
      <c r="H40" s="79"/>
      <c r="I40" s="80"/>
      <c r="J40" s="82"/>
      <c r="K40" s="79"/>
      <c r="L40" s="83"/>
      <c r="M40" s="82"/>
      <c r="N40" s="71"/>
      <c r="O40" s="72"/>
      <c r="P40" s="72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ht="15.0" customHeight="1">
      <c r="A41" s="77"/>
      <c r="B41" s="78"/>
      <c r="C41" s="78"/>
      <c r="D41" s="78"/>
      <c r="E41" s="79"/>
      <c r="F41" s="80"/>
      <c r="G41" s="81"/>
      <c r="H41" s="79"/>
      <c r="I41" s="80"/>
      <c r="J41" s="82"/>
      <c r="K41" s="79"/>
      <c r="L41" s="83"/>
      <c r="M41" s="82"/>
      <c r="N41" s="71"/>
      <c r="O41" s="72"/>
      <c r="P41" s="72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 ht="15.0" customHeight="1">
      <c r="A42" s="77"/>
      <c r="B42" s="78"/>
      <c r="C42" s="78"/>
      <c r="D42" s="78"/>
      <c r="E42" s="79"/>
      <c r="F42" s="80"/>
      <c r="G42" s="81"/>
      <c r="H42" s="79"/>
      <c r="I42" s="80"/>
      <c r="J42" s="82"/>
      <c r="K42" s="79"/>
      <c r="L42" s="83"/>
      <c r="M42" s="82"/>
      <c r="N42" s="71"/>
      <c r="O42" s="72"/>
      <c r="P42" s="72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 ht="15.0" customHeight="1">
      <c r="A43" s="77"/>
      <c r="B43" s="78"/>
      <c r="C43" s="78"/>
      <c r="D43" s="78"/>
      <c r="E43" s="79"/>
      <c r="F43" s="80"/>
      <c r="G43" s="81"/>
      <c r="H43" s="79"/>
      <c r="I43" s="80"/>
      <c r="J43" s="82"/>
      <c r="K43" s="79"/>
      <c r="L43" s="83"/>
      <c r="M43" s="82"/>
      <c r="N43" s="71"/>
      <c r="O43" s="72"/>
      <c r="P43" s="72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ht="15.0" customHeight="1">
      <c r="A44" s="77"/>
      <c r="B44" s="78"/>
      <c r="C44" s="78"/>
      <c r="D44" s="78"/>
      <c r="E44" s="79"/>
      <c r="F44" s="80"/>
      <c r="G44" s="81"/>
      <c r="H44" s="79"/>
      <c r="I44" s="80"/>
      <c r="J44" s="82"/>
      <c r="K44" s="79"/>
      <c r="L44" s="83"/>
      <c r="M44" s="82"/>
      <c r="N44" s="71"/>
      <c r="O44" s="72"/>
      <c r="P44" s="72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ht="15.0" customHeight="1">
      <c r="A45" s="77"/>
      <c r="B45" s="78"/>
      <c r="C45" s="78"/>
      <c r="D45" s="78"/>
      <c r="E45" s="79"/>
      <c r="F45" s="80"/>
      <c r="G45" s="81"/>
      <c r="H45" s="79"/>
      <c r="I45" s="80"/>
      <c r="J45" s="82"/>
      <c r="K45" s="79"/>
      <c r="L45" s="83"/>
      <c r="M45" s="82"/>
      <c r="N45" s="71"/>
      <c r="O45" s="72"/>
      <c r="P45" s="72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ht="15.0" customHeight="1">
      <c r="A46" s="77"/>
      <c r="B46" s="78"/>
      <c r="C46" s="78"/>
      <c r="D46" s="78"/>
      <c r="E46" s="79"/>
      <c r="F46" s="80"/>
      <c r="G46" s="81"/>
      <c r="H46" s="79"/>
      <c r="I46" s="80"/>
      <c r="J46" s="82"/>
      <c r="K46" s="79"/>
      <c r="L46" s="83"/>
      <c r="M46" s="82"/>
      <c r="N46" s="71"/>
      <c r="O46" s="72"/>
      <c r="P46" s="72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ht="15.0" customHeight="1">
      <c r="A47" s="77"/>
      <c r="B47" s="78"/>
      <c r="C47" s="78"/>
      <c r="D47" s="78"/>
      <c r="E47" s="79"/>
      <c r="F47" s="80"/>
      <c r="G47" s="81"/>
      <c r="H47" s="79"/>
      <c r="I47" s="80"/>
      <c r="J47" s="82"/>
      <c r="K47" s="79"/>
      <c r="L47" s="83"/>
      <c r="M47" s="82"/>
      <c r="N47" s="71"/>
      <c r="O47" s="72"/>
      <c r="P47" s="72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 ht="15.0" customHeight="1">
      <c r="A48" s="77"/>
      <c r="B48" s="78"/>
      <c r="C48" s="78"/>
      <c r="D48" s="78"/>
      <c r="E48" s="79"/>
      <c r="F48" s="80"/>
      <c r="G48" s="81"/>
      <c r="H48" s="79"/>
      <c r="I48" s="80"/>
      <c r="J48" s="82"/>
      <c r="K48" s="79"/>
      <c r="L48" s="83"/>
      <c r="M48" s="82"/>
      <c r="N48" s="71"/>
      <c r="O48" s="72"/>
      <c r="P48" s="72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 ht="15.0" customHeight="1">
      <c r="A49" s="77"/>
      <c r="B49" s="78"/>
      <c r="C49" s="78"/>
      <c r="D49" s="78"/>
      <c r="E49" s="79"/>
      <c r="F49" s="80"/>
      <c r="G49" s="81"/>
      <c r="H49" s="79"/>
      <c r="I49" s="80"/>
      <c r="J49" s="82"/>
      <c r="K49" s="79"/>
      <c r="L49" s="83"/>
      <c r="M49" s="82"/>
      <c r="N49" s="71"/>
      <c r="O49" s="72"/>
      <c r="P49" s="72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 ht="15.0" customHeight="1">
      <c r="A50" s="77"/>
      <c r="B50" s="78"/>
      <c r="C50" s="78"/>
      <c r="D50" s="78"/>
      <c r="E50" s="79"/>
      <c r="F50" s="80"/>
      <c r="G50" s="81"/>
      <c r="H50" s="79"/>
      <c r="I50" s="80"/>
      <c r="J50" s="82"/>
      <c r="K50" s="79"/>
      <c r="L50" s="83"/>
      <c r="M50" s="82"/>
      <c r="N50" s="71"/>
      <c r="O50" s="72"/>
      <c r="P50" s="72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ht="15.0" customHeight="1">
      <c r="A51" s="77"/>
      <c r="B51" s="78"/>
      <c r="C51" s="78"/>
      <c r="D51" s="78"/>
      <c r="E51" s="79"/>
      <c r="F51" s="80"/>
      <c r="G51" s="81"/>
      <c r="H51" s="79"/>
      <c r="I51" s="80"/>
      <c r="J51" s="82"/>
      <c r="K51" s="79"/>
      <c r="L51" s="83"/>
      <c r="M51" s="82"/>
      <c r="N51" s="71"/>
      <c r="O51" s="72"/>
      <c r="P51" s="72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 ht="15.0" customHeight="1">
      <c r="A52" s="77"/>
      <c r="B52" s="78"/>
      <c r="C52" s="78"/>
      <c r="D52" s="78"/>
      <c r="E52" s="79"/>
      <c r="F52" s="80"/>
      <c r="G52" s="81"/>
      <c r="H52" s="79"/>
      <c r="I52" s="80"/>
      <c r="J52" s="82"/>
      <c r="K52" s="79"/>
      <c r="L52" s="83"/>
      <c r="M52" s="82"/>
      <c r="N52" s="71"/>
      <c r="O52" s="72"/>
      <c r="P52" s="72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ht="15.0" customHeight="1">
      <c r="A53" s="77"/>
      <c r="B53" s="78"/>
      <c r="C53" s="78"/>
      <c r="D53" s="78"/>
      <c r="E53" s="79"/>
      <c r="F53" s="80"/>
      <c r="G53" s="81"/>
      <c r="H53" s="79"/>
      <c r="I53" s="80"/>
      <c r="J53" s="82"/>
      <c r="K53" s="79"/>
      <c r="L53" s="83"/>
      <c r="M53" s="82"/>
      <c r="N53" s="71"/>
      <c r="O53" s="72"/>
      <c r="P53" s="72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ht="15.0" customHeight="1">
      <c r="A54" s="77"/>
      <c r="B54" s="78"/>
      <c r="C54" s="78"/>
      <c r="D54" s="78"/>
      <c r="E54" s="79"/>
      <c r="F54" s="80"/>
      <c r="G54" s="81"/>
      <c r="H54" s="79"/>
      <c r="I54" s="80"/>
      <c r="J54" s="82"/>
      <c r="K54" s="79"/>
      <c r="L54" s="83"/>
      <c r="M54" s="82"/>
      <c r="N54" s="71"/>
      <c r="O54" s="72"/>
      <c r="P54" s="72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ht="15.0" customHeight="1">
      <c r="A55" s="77"/>
      <c r="B55" s="78"/>
      <c r="C55" s="78"/>
      <c r="D55" s="78"/>
      <c r="E55" s="79"/>
      <c r="F55" s="80"/>
      <c r="G55" s="81"/>
      <c r="H55" s="79"/>
      <c r="I55" s="80"/>
      <c r="J55" s="82"/>
      <c r="K55" s="79"/>
      <c r="L55" s="83"/>
      <c r="M55" s="82"/>
      <c r="N55" s="71"/>
      <c r="O55" s="72"/>
      <c r="P55" s="72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 ht="15.0" customHeight="1">
      <c r="A56" s="77"/>
      <c r="B56" s="78"/>
      <c r="C56" s="78"/>
      <c r="D56" s="78"/>
      <c r="E56" s="79"/>
      <c r="F56" s="80"/>
      <c r="G56" s="81"/>
      <c r="H56" s="79"/>
      <c r="I56" s="80"/>
      <c r="J56" s="82"/>
      <c r="K56" s="79"/>
      <c r="L56" s="83"/>
      <c r="M56" s="82"/>
      <c r="N56" s="71"/>
      <c r="O56" s="72"/>
      <c r="P56" s="72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 ht="15.0" customHeight="1">
      <c r="A57" s="77"/>
      <c r="B57" s="78"/>
      <c r="C57" s="78"/>
      <c r="D57" s="78"/>
      <c r="E57" s="79"/>
      <c r="F57" s="80"/>
      <c r="G57" s="81"/>
      <c r="H57" s="79"/>
      <c r="I57" s="80"/>
      <c r="J57" s="82"/>
      <c r="K57" s="79"/>
      <c r="L57" s="83"/>
      <c r="M57" s="82"/>
      <c r="N57" s="71"/>
      <c r="O57" s="72"/>
      <c r="P57" s="72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ht="15.0" customHeight="1">
      <c r="A58" s="77"/>
      <c r="B58" s="78"/>
      <c r="C58" s="78"/>
      <c r="D58" s="78"/>
      <c r="E58" s="79"/>
      <c r="F58" s="80"/>
      <c r="G58" s="81"/>
      <c r="H58" s="79"/>
      <c r="I58" s="80"/>
      <c r="J58" s="82"/>
      <c r="K58" s="79"/>
      <c r="L58" s="83"/>
      <c r="M58" s="82"/>
      <c r="N58" s="71"/>
      <c r="O58" s="72"/>
      <c r="P58" s="72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ht="15.0" customHeight="1">
      <c r="A59" s="77"/>
      <c r="B59" s="78"/>
      <c r="C59" s="78"/>
      <c r="D59" s="78"/>
      <c r="E59" s="79"/>
      <c r="F59" s="80"/>
      <c r="G59" s="81"/>
      <c r="H59" s="79"/>
      <c r="I59" s="80"/>
      <c r="J59" s="82"/>
      <c r="K59" s="79"/>
      <c r="L59" s="83"/>
      <c r="M59" s="82"/>
      <c r="N59" s="71"/>
      <c r="O59" s="72"/>
      <c r="P59" s="72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ht="15.0" customHeight="1">
      <c r="A60" s="77"/>
      <c r="B60" s="78"/>
      <c r="C60" s="78"/>
      <c r="D60" s="78"/>
      <c r="E60" s="79"/>
      <c r="F60" s="80"/>
      <c r="G60" s="81"/>
      <c r="H60" s="79"/>
      <c r="I60" s="80"/>
      <c r="J60" s="82"/>
      <c r="K60" s="79"/>
      <c r="L60" s="83"/>
      <c r="M60" s="82"/>
      <c r="N60" s="71"/>
      <c r="O60" s="72"/>
      <c r="P60" s="72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ht="15.0" customHeight="1">
      <c r="A61" s="77"/>
      <c r="B61" s="78"/>
      <c r="C61" s="78"/>
      <c r="D61" s="78"/>
      <c r="E61" s="79"/>
      <c r="F61" s="80"/>
      <c r="G61" s="81"/>
      <c r="H61" s="79"/>
      <c r="I61" s="80"/>
      <c r="J61" s="82"/>
      <c r="K61" s="79"/>
      <c r="L61" s="83"/>
      <c r="M61" s="82"/>
      <c r="N61" s="71"/>
      <c r="O61" s="72"/>
      <c r="P61" s="72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ht="15.0" customHeight="1">
      <c r="A62" s="77"/>
      <c r="B62" s="78"/>
      <c r="C62" s="78"/>
      <c r="D62" s="78"/>
      <c r="E62" s="79"/>
      <c r="F62" s="80"/>
      <c r="G62" s="81"/>
      <c r="H62" s="79"/>
      <c r="I62" s="80"/>
      <c r="J62" s="82"/>
      <c r="K62" s="79"/>
      <c r="L62" s="83"/>
      <c r="M62" s="82"/>
      <c r="N62" s="71"/>
      <c r="O62" s="72"/>
      <c r="P62" s="72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ht="15.0" customHeight="1">
      <c r="A63" s="77"/>
      <c r="B63" s="78"/>
      <c r="C63" s="78"/>
      <c r="D63" s="78"/>
      <c r="E63" s="79"/>
      <c r="F63" s="80"/>
      <c r="G63" s="81"/>
      <c r="H63" s="79"/>
      <c r="I63" s="80"/>
      <c r="J63" s="82"/>
      <c r="K63" s="79"/>
      <c r="L63" s="83"/>
      <c r="M63" s="82"/>
      <c r="N63" s="71"/>
      <c r="O63" s="72"/>
      <c r="P63" s="72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ht="15.0" customHeight="1">
      <c r="A64" s="77"/>
      <c r="B64" s="78"/>
      <c r="C64" s="78"/>
      <c r="D64" s="78"/>
      <c r="E64" s="79"/>
      <c r="F64" s="80"/>
      <c r="G64" s="81"/>
      <c r="H64" s="79"/>
      <c r="I64" s="80"/>
      <c r="J64" s="82"/>
      <c r="K64" s="79"/>
      <c r="L64" s="83"/>
      <c r="M64" s="82"/>
      <c r="N64" s="71"/>
      <c r="O64" s="72"/>
      <c r="P64" s="72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ht="15.0" customHeight="1">
      <c r="A65" s="77"/>
      <c r="B65" s="78"/>
      <c r="C65" s="78"/>
      <c r="D65" s="78"/>
      <c r="E65" s="79"/>
      <c r="F65" s="80"/>
      <c r="G65" s="81"/>
      <c r="H65" s="79"/>
      <c r="I65" s="80"/>
      <c r="J65" s="82"/>
      <c r="K65" s="79"/>
      <c r="L65" s="83"/>
      <c r="M65" s="82"/>
      <c r="N65" s="71"/>
      <c r="O65" s="72"/>
      <c r="P65" s="72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 ht="15.0" customHeight="1">
      <c r="A66" s="77"/>
      <c r="B66" s="78"/>
      <c r="C66" s="78"/>
      <c r="D66" s="78"/>
      <c r="E66" s="79"/>
      <c r="F66" s="80"/>
      <c r="G66" s="81"/>
      <c r="H66" s="79"/>
      <c r="I66" s="80"/>
      <c r="J66" s="82"/>
      <c r="K66" s="79"/>
      <c r="L66" s="83"/>
      <c r="M66" s="82"/>
      <c r="N66" s="71"/>
      <c r="O66" s="72"/>
      <c r="P66" s="72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ht="15.0" customHeight="1">
      <c r="A67" s="77"/>
      <c r="B67" s="78"/>
      <c r="C67" s="78"/>
      <c r="D67" s="78"/>
      <c r="E67" s="79"/>
      <c r="F67" s="80"/>
      <c r="G67" s="81"/>
      <c r="H67" s="79"/>
      <c r="I67" s="80"/>
      <c r="J67" s="82"/>
      <c r="K67" s="79"/>
      <c r="L67" s="83"/>
      <c r="M67" s="82"/>
      <c r="N67" s="71"/>
      <c r="O67" s="72"/>
      <c r="P67" s="72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ht="15.0" customHeight="1">
      <c r="A68" s="77"/>
      <c r="B68" s="78"/>
      <c r="C68" s="78"/>
      <c r="D68" s="78"/>
      <c r="E68" s="79"/>
      <c r="F68" s="80"/>
      <c r="G68" s="81"/>
      <c r="H68" s="79"/>
      <c r="I68" s="80"/>
      <c r="J68" s="82"/>
      <c r="K68" s="79"/>
      <c r="L68" s="83"/>
      <c r="M68" s="82"/>
      <c r="N68" s="71"/>
      <c r="O68" s="72"/>
      <c r="P68" s="72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ht="15.0" customHeight="1">
      <c r="A69" s="77"/>
      <c r="B69" s="78"/>
      <c r="C69" s="78"/>
      <c r="D69" s="78"/>
      <c r="E69" s="79"/>
      <c r="F69" s="80"/>
      <c r="G69" s="81"/>
      <c r="H69" s="79"/>
      <c r="I69" s="80"/>
      <c r="J69" s="82"/>
      <c r="K69" s="79"/>
      <c r="L69" s="83"/>
      <c r="M69" s="82"/>
      <c r="N69" s="71"/>
      <c r="O69" s="72"/>
      <c r="P69" s="72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ht="15.0" customHeight="1">
      <c r="A70" s="77"/>
      <c r="B70" s="78"/>
      <c r="C70" s="78"/>
      <c r="D70" s="84"/>
      <c r="E70" s="79"/>
      <c r="F70" s="80"/>
      <c r="G70" s="81"/>
      <c r="H70" s="79"/>
      <c r="I70" s="80"/>
      <c r="J70" s="82"/>
      <c r="K70" s="79"/>
      <c r="L70" s="83"/>
      <c r="M70" s="82"/>
      <c r="N70" s="71"/>
      <c r="O70" s="72"/>
      <c r="P70" s="72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ht="15.0" customHeight="1">
      <c r="A71" s="77"/>
      <c r="B71" s="78"/>
      <c r="C71" s="78"/>
      <c r="D71" s="84"/>
      <c r="E71" s="79"/>
      <c r="F71" s="80"/>
      <c r="G71" s="81"/>
      <c r="H71" s="79"/>
      <c r="I71" s="80"/>
      <c r="J71" s="82"/>
      <c r="K71" s="79"/>
      <c r="L71" s="83"/>
      <c r="M71" s="82"/>
      <c r="N71" s="71"/>
      <c r="O71" s="72"/>
      <c r="P71" s="72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ht="15.0" customHeight="1">
      <c r="A72" s="77"/>
      <c r="B72" s="78"/>
      <c r="C72" s="78"/>
      <c r="D72" s="84"/>
      <c r="E72" s="79"/>
      <c r="F72" s="80"/>
      <c r="G72" s="81"/>
      <c r="H72" s="79"/>
      <c r="I72" s="80"/>
      <c r="J72" s="82"/>
      <c r="K72" s="79"/>
      <c r="L72" s="83"/>
      <c r="M72" s="82"/>
      <c r="N72" s="71"/>
      <c r="O72" s="72"/>
      <c r="P72" s="72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ht="15.0" customHeight="1">
      <c r="A73" s="77"/>
      <c r="B73" s="78"/>
      <c r="C73" s="78"/>
      <c r="D73" s="84"/>
      <c r="E73" s="79"/>
      <c r="F73" s="80"/>
      <c r="G73" s="81"/>
      <c r="H73" s="79"/>
      <c r="I73" s="80"/>
      <c r="J73" s="82"/>
      <c r="K73" s="79"/>
      <c r="L73" s="83"/>
      <c r="M73" s="82"/>
      <c r="N73" s="71"/>
      <c r="O73" s="72"/>
      <c r="P73" s="72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ht="15.0" customHeight="1">
      <c r="A74" s="77"/>
      <c r="B74" s="78"/>
      <c r="C74" s="78"/>
      <c r="D74" s="84"/>
      <c r="E74" s="79"/>
      <c r="F74" s="80"/>
      <c r="G74" s="81"/>
      <c r="H74" s="79"/>
      <c r="I74" s="80"/>
      <c r="J74" s="82"/>
      <c r="K74" s="79"/>
      <c r="L74" s="83"/>
      <c r="M74" s="82"/>
      <c r="N74" s="71"/>
      <c r="O74" s="72"/>
      <c r="P74" s="72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ht="15.0" customHeight="1">
      <c r="A75" s="77"/>
      <c r="B75" s="78"/>
      <c r="C75" s="78"/>
      <c r="D75" s="84"/>
      <c r="E75" s="79"/>
      <c r="F75" s="80"/>
      <c r="G75" s="81"/>
      <c r="H75" s="79"/>
      <c r="I75" s="80"/>
      <c r="J75" s="82"/>
      <c r="K75" s="79"/>
      <c r="L75" s="83"/>
      <c r="M75" s="82"/>
      <c r="N75" s="71"/>
      <c r="O75" s="72"/>
      <c r="P75" s="72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ht="15.0" customHeight="1">
      <c r="A76" s="77"/>
      <c r="B76" s="78"/>
      <c r="C76" s="78"/>
      <c r="D76" s="84"/>
      <c r="E76" s="79"/>
      <c r="F76" s="80"/>
      <c r="G76" s="81"/>
      <c r="H76" s="79"/>
      <c r="I76" s="80"/>
      <c r="J76" s="82"/>
      <c r="K76" s="79"/>
      <c r="L76" s="83"/>
      <c r="M76" s="82"/>
      <c r="N76" s="71"/>
      <c r="O76" s="72"/>
      <c r="P76" s="72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ht="15.0" customHeight="1">
      <c r="A77" s="77"/>
      <c r="B77" s="78"/>
      <c r="C77" s="78"/>
      <c r="D77" s="84"/>
      <c r="E77" s="79"/>
      <c r="F77" s="80"/>
      <c r="G77" s="81"/>
      <c r="H77" s="79"/>
      <c r="I77" s="80"/>
      <c r="J77" s="82"/>
      <c r="K77" s="79"/>
      <c r="L77" s="83"/>
      <c r="M77" s="82"/>
      <c r="N77" s="71"/>
      <c r="O77" s="72"/>
      <c r="P77" s="72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ht="15.0" customHeight="1">
      <c r="A78" s="77"/>
      <c r="B78" s="78"/>
      <c r="C78" s="78"/>
      <c r="D78" s="84"/>
      <c r="E78" s="79"/>
      <c r="F78" s="80"/>
      <c r="G78" s="81"/>
      <c r="H78" s="79"/>
      <c r="I78" s="80"/>
      <c r="J78" s="82"/>
      <c r="K78" s="79"/>
      <c r="L78" s="83"/>
      <c r="M78" s="82"/>
      <c r="N78" s="71"/>
      <c r="O78" s="72"/>
      <c r="P78" s="72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ht="15.0" customHeight="1">
      <c r="A79" s="77"/>
      <c r="B79" s="78"/>
      <c r="C79" s="78"/>
      <c r="D79" s="84"/>
      <c r="E79" s="79"/>
      <c r="F79" s="80"/>
      <c r="G79" s="81"/>
      <c r="H79" s="79"/>
      <c r="I79" s="80"/>
      <c r="J79" s="82"/>
      <c r="K79" s="79"/>
      <c r="L79" s="83"/>
      <c r="M79" s="82"/>
      <c r="N79" s="71"/>
      <c r="O79" s="72"/>
      <c r="P79" s="72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ht="15.0" customHeight="1">
      <c r="A80" s="85"/>
      <c r="B80" s="78"/>
      <c r="C80" s="78"/>
      <c r="D80" s="84"/>
      <c r="E80" s="83"/>
      <c r="F80" s="80"/>
      <c r="G80" s="82"/>
      <c r="H80" s="83"/>
      <c r="I80" s="80"/>
      <c r="J80" s="82"/>
      <c r="K80" s="83"/>
      <c r="L80" s="80"/>
      <c r="M80" s="82"/>
      <c r="N80" s="71"/>
      <c r="O80" s="72"/>
      <c r="P80" s="72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ht="15.0" customHeight="1">
      <c r="A81" s="85"/>
      <c r="B81" s="78"/>
      <c r="C81" s="78"/>
      <c r="D81" s="84"/>
      <c r="E81" s="83"/>
      <c r="F81" s="80"/>
      <c r="G81" s="82"/>
      <c r="H81" s="83"/>
      <c r="I81" s="80"/>
      <c r="J81" s="82"/>
      <c r="K81" s="83"/>
      <c r="L81" s="80"/>
      <c r="M81" s="82"/>
      <c r="N81" s="86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5.0" customHeight="1">
      <c r="A82" s="85"/>
      <c r="B82" s="78"/>
      <c r="C82" s="78"/>
      <c r="D82" s="84"/>
      <c r="E82" s="83"/>
      <c r="F82" s="80"/>
      <c r="G82" s="82"/>
      <c r="H82" s="83"/>
      <c r="I82" s="80"/>
      <c r="J82" s="82"/>
      <c r="K82" s="83"/>
      <c r="L82" s="80"/>
      <c r="M82" s="82"/>
      <c r="N82" s="86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5.0" customHeight="1">
      <c r="A83" s="85"/>
      <c r="B83" s="78"/>
      <c r="C83" s="78"/>
      <c r="D83" s="84"/>
      <c r="E83" s="83"/>
      <c r="F83" s="80"/>
      <c r="G83" s="82"/>
      <c r="H83" s="83"/>
      <c r="I83" s="80"/>
      <c r="J83" s="82"/>
      <c r="K83" s="83"/>
      <c r="L83" s="80"/>
      <c r="M83" s="82"/>
      <c r="N83" s="86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5.0" customHeight="1">
      <c r="A84" s="85"/>
      <c r="B84" s="78"/>
      <c r="C84" s="78"/>
      <c r="D84" s="84"/>
      <c r="E84" s="83"/>
      <c r="F84" s="80"/>
      <c r="G84" s="82"/>
      <c r="H84" s="83"/>
      <c r="I84" s="80"/>
      <c r="J84" s="82"/>
      <c r="K84" s="83"/>
      <c r="L84" s="80"/>
      <c r="M84" s="82"/>
      <c r="N84" s="86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5.0" customHeight="1">
      <c r="A85" s="85"/>
      <c r="B85" s="78"/>
      <c r="C85" s="78"/>
      <c r="D85" s="84"/>
      <c r="E85" s="83"/>
      <c r="F85" s="80"/>
      <c r="G85" s="82"/>
      <c r="H85" s="83"/>
      <c r="I85" s="80"/>
      <c r="J85" s="82"/>
      <c r="K85" s="83"/>
      <c r="L85" s="80"/>
      <c r="M85" s="82"/>
      <c r="N85" s="86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5.0" customHeight="1">
      <c r="A86" s="85"/>
      <c r="B86" s="78"/>
      <c r="C86" s="78"/>
      <c r="D86" s="84"/>
      <c r="E86" s="83"/>
      <c r="F86" s="80"/>
      <c r="G86" s="82"/>
      <c r="H86" s="83"/>
      <c r="I86" s="80"/>
      <c r="J86" s="82"/>
      <c r="K86" s="83"/>
      <c r="L86" s="80"/>
      <c r="M86" s="82"/>
      <c r="N86" s="86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5.0" customHeight="1">
      <c r="A87" s="85"/>
      <c r="B87" s="78"/>
      <c r="C87" s="78"/>
      <c r="D87" s="84"/>
      <c r="E87" s="83"/>
      <c r="F87" s="80"/>
      <c r="G87" s="82"/>
      <c r="H87" s="83"/>
      <c r="I87" s="80"/>
      <c r="J87" s="82"/>
      <c r="K87" s="83"/>
      <c r="L87" s="80"/>
      <c r="M87" s="82"/>
      <c r="N87" s="86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5.0" customHeight="1">
      <c r="A88" s="85"/>
      <c r="B88" s="78"/>
      <c r="C88" s="78"/>
      <c r="D88" s="84"/>
      <c r="E88" s="83"/>
      <c r="F88" s="80"/>
      <c r="G88" s="82"/>
      <c r="H88" s="83"/>
      <c r="I88" s="80"/>
      <c r="J88" s="82"/>
      <c r="K88" s="83"/>
      <c r="L88" s="80"/>
      <c r="M88" s="82"/>
      <c r="N88" s="86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5.0" customHeight="1">
      <c r="A89" s="85"/>
      <c r="B89" s="78"/>
      <c r="C89" s="78"/>
      <c r="D89" s="84"/>
      <c r="E89" s="83"/>
      <c r="F89" s="80"/>
      <c r="G89" s="82"/>
      <c r="H89" s="83"/>
      <c r="I89" s="80"/>
      <c r="J89" s="82"/>
      <c r="K89" s="83"/>
      <c r="L89" s="80"/>
      <c r="M89" s="82"/>
      <c r="N89" s="86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5.0" customHeight="1">
      <c r="A90" s="85"/>
      <c r="B90" s="78"/>
      <c r="C90" s="78"/>
      <c r="D90" s="84"/>
      <c r="E90" s="83"/>
      <c r="F90" s="80"/>
      <c r="G90" s="82"/>
      <c r="H90" s="83"/>
      <c r="I90" s="80"/>
      <c r="J90" s="82"/>
      <c r="K90" s="83"/>
      <c r="L90" s="80"/>
      <c r="M90" s="82"/>
      <c r="N90" s="86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5.0" customHeight="1">
      <c r="A91" s="85"/>
      <c r="B91" s="78"/>
      <c r="C91" s="78"/>
      <c r="D91" s="84"/>
      <c r="E91" s="83"/>
      <c r="F91" s="80"/>
      <c r="G91" s="82"/>
      <c r="H91" s="83"/>
      <c r="I91" s="80"/>
      <c r="J91" s="82"/>
      <c r="K91" s="83"/>
      <c r="L91" s="80"/>
      <c r="M91" s="82"/>
      <c r="N91" s="86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5.0" customHeight="1">
      <c r="A92" s="85"/>
      <c r="B92" s="78"/>
      <c r="C92" s="78"/>
      <c r="D92" s="84"/>
      <c r="E92" s="83"/>
      <c r="F92" s="80"/>
      <c r="G92" s="82"/>
      <c r="H92" s="83"/>
      <c r="I92" s="80"/>
      <c r="J92" s="82"/>
      <c r="K92" s="83"/>
      <c r="L92" s="80"/>
      <c r="M92" s="82"/>
      <c r="N92" s="86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5.0" customHeight="1">
      <c r="A93" s="85"/>
      <c r="B93" s="78"/>
      <c r="C93" s="78"/>
      <c r="D93" s="84"/>
      <c r="E93" s="83"/>
      <c r="F93" s="80"/>
      <c r="G93" s="82"/>
      <c r="H93" s="83"/>
      <c r="I93" s="80"/>
      <c r="J93" s="82"/>
      <c r="K93" s="83"/>
      <c r="L93" s="80"/>
      <c r="M93" s="82"/>
      <c r="N93" s="86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5.0" customHeight="1">
      <c r="A94" s="85"/>
      <c r="B94" s="78"/>
      <c r="C94" s="78"/>
      <c r="D94" s="84"/>
      <c r="E94" s="83"/>
      <c r="F94" s="80"/>
      <c r="G94" s="82"/>
      <c r="H94" s="83"/>
      <c r="I94" s="80"/>
      <c r="J94" s="82"/>
      <c r="K94" s="83"/>
      <c r="L94" s="80"/>
      <c r="M94" s="82"/>
      <c r="N94" s="86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5.0" customHeight="1">
      <c r="A95" s="85"/>
      <c r="B95" s="78"/>
      <c r="C95" s="78"/>
      <c r="D95" s="84"/>
      <c r="E95" s="83"/>
      <c r="F95" s="80"/>
      <c r="G95" s="82"/>
      <c r="H95" s="83"/>
      <c r="I95" s="80"/>
      <c r="J95" s="82"/>
      <c r="K95" s="83"/>
      <c r="L95" s="80"/>
      <c r="M95" s="82"/>
      <c r="N95" s="86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5.0" customHeight="1">
      <c r="A96" s="85"/>
      <c r="B96" s="78"/>
      <c r="C96" s="78"/>
      <c r="D96" s="84"/>
      <c r="E96" s="83"/>
      <c r="F96" s="80"/>
      <c r="G96" s="82"/>
      <c r="H96" s="83"/>
      <c r="I96" s="80"/>
      <c r="J96" s="82"/>
      <c r="K96" s="83"/>
      <c r="L96" s="80"/>
      <c r="M96" s="82"/>
      <c r="N96" s="86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5.0" customHeight="1">
      <c r="A97" s="87"/>
      <c r="B97" s="87"/>
      <c r="C97" s="87"/>
      <c r="D97" s="88"/>
      <c r="E97" s="86"/>
      <c r="F97" s="87"/>
      <c r="G97" s="88"/>
      <c r="H97" s="86"/>
      <c r="I97" s="87"/>
      <c r="J97" s="88"/>
      <c r="K97" s="86"/>
      <c r="L97" s="87"/>
      <c r="M97" s="88"/>
      <c r="N97" s="86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5.0" customHeight="1">
      <c r="A98" s="87"/>
      <c r="B98" s="87"/>
      <c r="C98" s="87"/>
      <c r="D98" s="88"/>
      <c r="E98" s="86"/>
      <c r="F98" s="87"/>
      <c r="G98" s="88"/>
      <c r="H98" s="86"/>
      <c r="I98" s="87"/>
      <c r="J98" s="88"/>
      <c r="K98" s="86"/>
      <c r="L98" s="87"/>
      <c r="M98" s="88"/>
      <c r="N98" s="86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5.0" customHeight="1">
      <c r="A99" s="87"/>
      <c r="B99" s="87"/>
      <c r="C99" s="87"/>
      <c r="D99" s="88"/>
      <c r="E99" s="86"/>
      <c r="F99" s="87"/>
      <c r="G99" s="88"/>
      <c r="H99" s="86"/>
      <c r="I99" s="87"/>
      <c r="J99" s="88"/>
      <c r="K99" s="86"/>
      <c r="L99" s="87"/>
      <c r="M99" s="88"/>
      <c r="N99" s="86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5.0" customHeight="1">
      <c r="A100" s="87"/>
      <c r="B100" s="87"/>
      <c r="C100" s="87"/>
      <c r="D100" s="88"/>
      <c r="E100" s="86"/>
      <c r="F100" s="87"/>
      <c r="G100" s="88"/>
      <c r="H100" s="86"/>
      <c r="I100" s="87"/>
      <c r="J100" s="88"/>
      <c r="K100" s="86"/>
      <c r="L100" s="87"/>
      <c r="M100" s="88"/>
      <c r="N100" s="86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5.0" customHeight="1">
      <c r="A101" s="87"/>
      <c r="B101" s="87"/>
      <c r="C101" s="87"/>
      <c r="D101" s="88"/>
      <c r="E101" s="86"/>
      <c r="F101" s="87"/>
      <c r="G101" s="88"/>
      <c r="H101" s="86"/>
      <c r="I101" s="87"/>
      <c r="J101" s="88"/>
      <c r="K101" s="86"/>
      <c r="L101" s="87"/>
      <c r="M101" s="88"/>
      <c r="N101" s="86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5.0" customHeight="1">
      <c r="A102" s="87"/>
      <c r="B102" s="87"/>
      <c r="C102" s="87"/>
      <c r="D102" s="88"/>
      <c r="E102" s="86"/>
      <c r="F102" s="87"/>
      <c r="G102" s="88"/>
      <c r="H102" s="86"/>
      <c r="I102" s="87"/>
      <c r="J102" s="88"/>
      <c r="K102" s="86"/>
      <c r="L102" s="87"/>
      <c r="M102" s="88"/>
      <c r="N102" s="86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5.0" customHeight="1">
      <c r="A103" s="87"/>
      <c r="B103" s="87"/>
      <c r="C103" s="87"/>
      <c r="D103" s="88"/>
      <c r="E103" s="86"/>
      <c r="F103" s="87"/>
      <c r="G103" s="88"/>
      <c r="H103" s="86"/>
      <c r="I103" s="87"/>
      <c r="J103" s="88"/>
      <c r="K103" s="86"/>
      <c r="L103" s="87"/>
      <c r="M103" s="88"/>
      <c r="N103" s="86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5.0" customHeight="1">
      <c r="A104" s="87"/>
      <c r="B104" s="87"/>
      <c r="C104" s="87"/>
      <c r="D104" s="88"/>
      <c r="E104" s="86"/>
      <c r="F104" s="87"/>
      <c r="G104" s="88"/>
      <c r="H104" s="86"/>
      <c r="I104" s="87"/>
      <c r="J104" s="88"/>
      <c r="K104" s="86"/>
      <c r="L104" s="87"/>
      <c r="M104" s="88"/>
      <c r="N104" s="86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5.0" customHeight="1">
      <c r="A105" s="87"/>
      <c r="B105" s="87"/>
      <c r="C105" s="87"/>
      <c r="D105" s="88"/>
      <c r="E105" s="86"/>
      <c r="F105" s="87"/>
      <c r="G105" s="88"/>
      <c r="H105" s="86"/>
      <c r="I105" s="87"/>
      <c r="J105" s="88"/>
      <c r="K105" s="86"/>
      <c r="L105" s="87"/>
      <c r="M105" s="88"/>
      <c r="N105" s="86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5.0" customHeight="1">
      <c r="A106" s="87"/>
      <c r="B106" s="87"/>
      <c r="C106" s="87"/>
      <c r="D106" s="88"/>
      <c r="E106" s="86"/>
      <c r="F106" s="87"/>
      <c r="G106" s="88"/>
      <c r="H106" s="86"/>
      <c r="I106" s="87"/>
      <c r="J106" s="88"/>
      <c r="K106" s="86"/>
      <c r="L106" s="87"/>
      <c r="M106" s="88"/>
      <c r="N106" s="86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5.0" customHeight="1">
      <c r="A107" s="87"/>
      <c r="B107" s="87"/>
      <c r="C107" s="87"/>
      <c r="D107" s="88"/>
      <c r="E107" s="86"/>
      <c r="F107" s="87"/>
      <c r="G107" s="88"/>
      <c r="H107" s="86"/>
      <c r="I107" s="87"/>
      <c r="J107" s="88"/>
      <c r="K107" s="86"/>
      <c r="L107" s="87"/>
      <c r="M107" s="88"/>
      <c r="N107" s="86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5.0" customHeight="1">
      <c r="A108" s="87"/>
      <c r="B108" s="87"/>
      <c r="C108" s="87"/>
      <c r="D108" s="88"/>
      <c r="E108" s="86"/>
      <c r="F108" s="87"/>
      <c r="G108" s="88"/>
      <c r="H108" s="86"/>
      <c r="I108" s="87"/>
      <c r="J108" s="88"/>
      <c r="K108" s="86"/>
      <c r="L108" s="87"/>
      <c r="M108" s="88"/>
      <c r="N108" s="86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5.0" customHeight="1">
      <c r="A109" s="87"/>
      <c r="B109" s="87"/>
      <c r="C109" s="87"/>
      <c r="D109" s="88"/>
      <c r="E109" s="86"/>
      <c r="F109" s="87"/>
      <c r="G109" s="88"/>
      <c r="H109" s="86"/>
      <c r="I109" s="87"/>
      <c r="J109" s="88"/>
      <c r="K109" s="86"/>
      <c r="L109" s="87"/>
      <c r="M109" s="88"/>
      <c r="N109" s="86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5.0" customHeight="1">
      <c r="A110" s="87"/>
      <c r="B110" s="87"/>
      <c r="C110" s="87"/>
      <c r="D110" s="88"/>
      <c r="E110" s="86"/>
      <c r="F110" s="87"/>
      <c r="G110" s="88"/>
      <c r="H110" s="86"/>
      <c r="I110" s="87"/>
      <c r="J110" s="88"/>
      <c r="K110" s="86"/>
      <c r="L110" s="87"/>
      <c r="M110" s="88"/>
      <c r="N110" s="86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5.0" customHeight="1">
      <c r="A111" s="87"/>
      <c r="B111" s="87"/>
      <c r="C111" s="87"/>
      <c r="D111" s="88"/>
      <c r="E111" s="86"/>
      <c r="F111" s="87"/>
      <c r="G111" s="88"/>
      <c r="H111" s="86"/>
      <c r="I111" s="87"/>
      <c r="J111" s="88"/>
      <c r="K111" s="86"/>
      <c r="L111" s="87"/>
      <c r="M111" s="88"/>
      <c r="N111" s="86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5.0" customHeight="1">
      <c r="A112" s="87"/>
      <c r="B112" s="87"/>
      <c r="C112" s="87"/>
      <c r="D112" s="88"/>
      <c r="E112" s="86"/>
      <c r="F112" s="87"/>
      <c r="G112" s="88"/>
      <c r="H112" s="86"/>
      <c r="I112" s="87"/>
      <c r="J112" s="88"/>
      <c r="K112" s="86"/>
      <c r="L112" s="87"/>
      <c r="M112" s="88"/>
      <c r="N112" s="86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5.0" customHeight="1">
      <c r="A113" s="87"/>
      <c r="B113" s="87"/>
      <c r="C113" s="87"/>
      <c r="D113" s="88"/>
      <c r="E113" s="86"/>
      <c r="F113" s="87"/>
      <c r="G113" s="88"/>
      <c r="H113" s="86"/>
      <c r="I113" s="87"/>
      <c r="J113" s="88"/>
      <c r="K113" s="86"/>
      <c r="L113" s="87"/>
      <c r="M113" s="88"/>
      <c r="N113" s="86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5.0" customHeight="1">
      <c r="A114" s="87"/>
      <c r="B114" s="87"/>
      <c r="C114" s="87"/>
      <c r="D114" s="88"/>
      <c r="E114" s="86"/>
      <c r="F114" s="87"/>
      <c r="G114" s="88"/>
      <c r="H114" s="86"/>
      <c r="I114" s="87"/>
      <c r="J114" s="88"/>
      <c r="K114" s="86"/>
      <c r="L114" s="87"/>
      <c r="M114" s="88"/>
      <c r="N114" s="86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5.0" customHeight="1">
      <c r="A115" s="87"/>
      <c r="B115" s="87"/>
      <c r="C115" s="87"/>
      <c r="D115" s="88"/>
      <c r="E115" s="86"/>
      <c r="F115" s="87"/>
      <c r="G115" s="88"/>
      <c r="H115" s="86"/>
      <c r="I115" s="87"/>
      <c r="J115" s="88"/>
      <c r="K115" s="86"/>
      <c r="L115" s="87"/>
      <c r="M115" s="88"/>
      <c r="N115" s="86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5.0" customHeight="1">
      <c r="A116" s="87"/>
      <c r="B116" s="87"/>
      <c r="C116" s="87"/>
      <c r="D116" s="88"/>
      <c r="E116" s="86"/>
      <c r="F116" s="87"/>
      <c r="G116" s="88"/>
      <c r="H116" s="86"/>
      <c r="I116" s="87"/>
      <c r="J116" s="88"/>
      <c r="K116" s="86"/>
      <c r="L116" s="87"/>
      <c r="M116" s="88"/>
      <c r="N116" s="86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5.0" customHeight="1">
      <c r="A117" s="87"/>
      <c r="B117" s="87"/>
      <c r="C117" s="87"/>
      <c r="D117" s="88"/>
      <c r="E117" s="86"/>
      <c r="F117" s="87"/>
      <c r="G117" s="88"/>
      <c r="H117" s="86"/>
      <c r="I117" s="87"/>
      <c r="J117" s="88"/>
      <c r="K117" s="86"/>
      <c r="L117" s="87"/>
      <c r="M117" s="88"/>
      <c r="N117" s="86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5.0" customHeight="1">
      <c r="A118" s="87"/>
      <c r="B118" s="87"/>
      <c r="C118" s="87"/>
      <c r="D118" s="88"/>
      <c r="E118" s="86"/>
      <c r="F118" s="87"/>
      <c r="G118" s="88"/>
      <c r="H118" s="86"/>
      <c r="I118" s="87"/>
      <c r="J118" s="88"/>
      <c r="K118" s="86"/>
      <c r="L118" s="87"/>
      <c r="M118" s="88"/>
      <c r="N118" s="86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5.0" customHeight="1">
      <c r="A119" s="87"/>
      <c r="B119" s="87"/>
      <c r="C119" s="87"/>
      <c r="D119" s="88"/>
      <c r="E119" s="86"/>
      <c r="F119" s="87"/>
      <c r="G119" s="88"/>
      <c r="H119" s="86"/>
      <c r="I119" s="87"/>
      <c r="J119" s="88"/>
      <c r="K119" s="86"/>
      <c r="L119" s="87"/>
      <c r="M119" s="88"/>
      <c r="N119" s="86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5.0" customHeight="1">
      <c r="A120" s="87"/>
      <c r="B120" s="87"/>
      <c r="C120" s="87"/>
      <c r="D120" s="88"/>
      <c r="E120" s="86"/>
      <c r="F120" s="87"/>
      <c r="G120" s="88"/>
      <c r="H120" s="86"/>
      <c r="I120" s="87"/>
      <c r="J120" s="88"/>
      <c r="K120" s="86"/>
      <c r="L120" s="87"/>
      <c r="M120" s="88"/>
      <c r="N120" s="86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5.0" customHeight="1">
      <c r="A121" s="87"/>
      <c r="B121" s="87"/>
      <c r="C121" s="87"/>
      <c r="D121" s="88"/>
      <c r="E121" s="86"/>
      <c r="F121" s="87"/>
      <c r="G121" s="88"/>
      <c r="H121" s="86"/>
      <c r="I121" s="87"/>
      <c r="J121" s="88"/>
      <c r="K121" s="86"/>
      <c r="L121" s="87"/>
      <c r="M121" s="88"/>
      <c r="N121" s="86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6.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6.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6.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6.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6.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6.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6.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6.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6.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6.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6.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6.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6.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6.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6.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6.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6.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6.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6.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6.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6.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6.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6.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6.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6.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6.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6.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6.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6.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6.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6.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6.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6.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6.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6.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6.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6.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6.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6.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6.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6.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6.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6.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6.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6.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6.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6.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6.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6.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6.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6.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6.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6.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6.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6.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6.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6.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6.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6.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6.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6.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6.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6.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6.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6.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6.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6.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6.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6.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6.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6.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6.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6.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6.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6.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6.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6.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6.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6.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6.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6.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6.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6.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6.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6.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6.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6.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6.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6.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6.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6.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6.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6.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6.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6.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6.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6.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6.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6.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6.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6.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6.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6.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6.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6.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6.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6.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6.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6.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6.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6.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6.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6.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6.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6.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6.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6.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6.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6.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6.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6.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6.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6.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6.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6.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6.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6.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6.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6.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6.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6.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6.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6.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6.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6.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6.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6.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6.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6.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6.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6.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6.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6.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6.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6.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6.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6.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6.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6.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6.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6.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6.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6.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6.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6.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6.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6.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6.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6.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6.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6.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6.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6.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6.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6.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6.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6.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6.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6.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6.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6.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6.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6.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6.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6.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6.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6.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6.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6.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6.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6.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6.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16.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16.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16.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16.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16.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16.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16.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16.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16.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16.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16.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16.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16.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16.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16.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16.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16.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16.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16.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16.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16.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16.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16.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16.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16.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16.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16.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16.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16.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16.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16.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16.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16.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16.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16.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16.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16.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16.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16.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16.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16.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16.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16.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16.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16.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16.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16.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16.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16.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16.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16.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16.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16.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16.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16.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16.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16.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16.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16.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16.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16.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16.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16.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16.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16.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16.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16.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16.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16.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16.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16.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16.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16.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16.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16.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16.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16.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16.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16.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16.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16.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16.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16.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16.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16.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16.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16.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16.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16.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16.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16.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16.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16.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16.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16.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16.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16.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16.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16.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16.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16.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16.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16.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16.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16.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16.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16.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16.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16.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16.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16.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16.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16.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16.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16.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16.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16.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16.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16.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16.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16.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16.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16.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16.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16.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16.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16.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16.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16.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16.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16.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16.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16.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16.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16.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16.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16.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16.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16.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16.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16.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16.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16.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16.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16.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16.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16.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16.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16.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16.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16.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16.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16.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16.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16.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16.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16.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16.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16.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16.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16.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16.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16.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16.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16.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16.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16.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16.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16.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16.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16.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16.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16.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16.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16.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16.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16.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16.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16.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16.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ht="16.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ht="16.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ht="16.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ht="16.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ht="16.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ht="16.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ht="16.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ht="16.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ht="16.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ht="16.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ht="16.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ht="16.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ht="16.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ht="16.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ht="16.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ht="16.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ht="16.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ht="16.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ht="16.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ht="16.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ht="16.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ht="16.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ht="16.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ht="16.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ht="16.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ht="16.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ht="16.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ht="16.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ht="16.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ht="16.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ht="16.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ht="16.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ht="16.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ht="16.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ht="16.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ht="16.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ht="16.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ht="16.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ht="16.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ht="16.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ht="16.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ht="16.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ht="16.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ht="16.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ht="16.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6.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ht="16.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ht="16.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ht="16.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ht="16.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ht="16.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ht="16.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ht="16.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ht="16.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ht="16.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ht="16.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ht="16.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ht="16.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ht="16.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ht="16.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ht="16.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ht="16.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ht="16.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ht="16.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ht="16.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ht="16.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ht="16.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ht="16.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ht="16.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ht="16.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ht="16.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ht="16.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ht="16.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ht="16.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ht="16.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ht="16.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ht="16.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ht="16.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ht="16.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ht="16.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ht="16.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ht="16.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ht="16.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ht="16.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ht="16.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ht="16.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ht="16.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ht="16.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ht="16.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ht="16.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ht="16.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ht="16.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ht="16.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ht="16.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ht="16.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ht="16.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ht="16.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ht="16.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ht="16.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ht="16.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ht="16.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ht="16.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ht="16.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ht="16.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ht="16.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ht="16.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ht="16.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ht="16.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ht="16.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ht="16.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ht="16.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ht="16.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ht="16.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ht="16.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ht="16.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ht="16.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ht="16.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ht="16.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ht="16.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ht="16.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ht="16.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ht="16.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ht="16.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ht="16.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ht="16.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ht="16.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ht="16.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ht="16.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ht="16.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ht="16.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ht="16.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ht="16.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ht="16.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ht="16.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ht="16.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ht="16.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ht="16.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ht="16.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ht="16.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ht="16.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ht="16.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ht="16.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ht="16.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ht="16.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ht="16.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ht="16.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ht="16.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ht="16.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ht="16.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ht="16.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ht="16.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ht="16.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ht="16.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ht="16.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ht="16.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ht="16.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ht="16.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ht="16.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ht="16.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ht="16.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ht="16.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ht="16.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ht="16.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ht="16.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ht="16.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ht="16.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ht="16.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ht="16.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ht="16.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ht="16.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ht="16.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ht="16.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ht="16.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ht="16.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ht="16.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ht="16.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ht="16.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ht="16.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ht="16.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ht="16.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ht="16.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ht="16.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ht="16.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ht="16.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ht="16.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ht="16.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ht="16.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ht="16.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ht="16.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ht="16.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ht="16.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ht="16.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ht="16.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ht="16.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ht="16.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ht="16.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ht="16.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ht="16.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ht="16.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ht="16.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ht="16.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ht="16.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ht="16.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ht="16.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ht="16.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ht="16.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ht="16.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ht="16.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ht="16.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ht="16.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ht="16.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ht="16.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ht="16.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ht="16.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ht="16.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ht="16.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ht="16.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ht="16.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ht="16.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ht="16.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ht="16.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ht="16.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ht="16.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ht="16.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ht="16.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ht="16.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ht="16.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ht="16.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ht="16.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ht="16.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ht="16.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ht="16.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ht="16.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ht="16.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ht="16.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ht="16.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ht="16.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ht="16.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ht="16.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ht="16.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ht="16.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ht="16.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ht="16.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ht="16.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ht="16.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ht="16.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ht="16.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ht="16.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ht="16.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ht="16.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ht="16.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ht="16.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ht="16.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ht="16.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ht="16.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ht="16.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ht="16.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ht="16.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ht="16.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ht="16.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ht="16.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ht="16.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ht="16.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ht="16.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ht="16.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ht="16.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ht="16.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ht="16.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ht="16.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ht="16.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ht="16.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ht="16.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ht="16.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ht="16.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ht="16.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ht="16.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ht="16.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ht="16.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ht="16.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ht="16.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ht="16.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ht="16.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ht="16.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ht="16.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ht="16.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ht="16.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ht="16.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ht="16.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ht="16.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ht="16.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ht="16.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ht="16.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ht="16.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ht="16.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ht="16.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ht="16.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ht="16.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ht="16.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ht="16.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ht="16.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ht="16.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ht="16.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ht="16.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ht="16.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ht="16.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ht="16.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ht="16.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ht="16.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ht="16.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ht="16.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ht="16.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ht="16.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ht="16.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ht="16.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ht="16.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ht="16.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ht="16.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ht="16.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ht="16.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ht="16.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ht="16.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ht="16.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ht="16.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ht="16.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ht="16.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ht="16.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ht="16.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ht="16.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ht="16.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ht="16.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ht="16.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ht="16.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ht="16.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ht="16.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ht="16.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ht="16.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ht="16.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ht="16.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ht="16.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ht="16.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ht="16.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ht="16.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ht="16.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ht="16.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ht="16.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ht="16.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ht="16.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ht="16.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ht="16.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ht="16.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ht="16.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ht="16.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ht="16.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ht="16.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ht="16.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ht="16.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ht="16.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ht="16.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ht="16.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ht="16.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ht="16.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ht="16.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ht="16.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ht="16.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ht="16.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ht="16.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ht="16.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ht="16.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ht="16.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ht="16.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ht="16.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ht="16.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ht="16.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ht="16.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ht="16.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ht="16.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ht="16.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ht="16.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ht="16.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ht="16.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ht="16.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ht="16.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ht="16.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ht="16.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ht="16.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ht="16.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ht="16.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ht="16.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ht="16.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ht="16.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ht="16.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ht="16.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ht="16.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ht="16.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ht="16.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ht="16.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ht="16.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ht="16.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ht="16.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ht="16.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ht="16.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ht="16.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ht="16.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ht="16.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ht="16.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ht="16.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ht="16.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ht="16.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ht="16.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ht="16.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ht="16.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ht="16.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ht="16.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ht="16.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ht="16.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ht="16.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ht="16.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ht="16.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ht="16.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ht="16.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ht="16.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ht="16.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ht="16.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ht="16.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ht="16.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ht="16.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ht="16.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ht="16.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ht="16.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ht="16.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ht="16.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ht="16.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ht="16.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ht="16.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ht="16.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ht="16.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ht="16.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ht="16.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ht="16.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ht="16.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ht="16.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ht="16.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ht="16.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ht="16.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ht="16.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ht="16.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ht="16.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ht="16.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ht="16.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ht="16.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ht="16.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ht="16.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ht="16.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ht="16.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ht="16.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ht="16.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ht="16.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ht="16.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ht="16.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ht="16.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ht="16.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ht="16.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ht="16.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ht="16.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ht="16.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ht="16.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ht="16.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ht="16.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ht="16.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ht="16.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ht="16.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ht="16.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ht="16.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ht="16.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ht="16.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ht="16.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ht="16.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ht="16.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ht="16.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ht="16.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ht="16.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ht="16.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ht="16.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ht="16.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ht="16.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ht="16.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ht="16.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ht="16.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ht="16.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ht="16.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ht="16.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ht="16.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ht="16.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ht="16.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ht="16.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ht="16.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ht="16.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ht="16.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ht="16.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ht="16.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ht="16.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ht="16.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ht="16.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ht="16.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ht="16.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ht="16.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ht="16.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ht="16.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ht="16.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ht="16.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ht="16.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ht="16.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ht="16.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ht="16.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ht="16.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ht="16.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ht="16.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mergeCells count="7">
    <mergeCell ref="A1:N1"/>
    <mergeCell ref="A17:A19"/>
    <mergeCell ref="B17:D17"/>
    <mergeCell ref="E17:G17"/>
    <mergeCell ref="H17:J17"/>
    <mergeCell ref="K17:M17"/>
    <mergeCell ref="N17:N19"/>
  </mergeCells>
  <printOptions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13" width="5.29"/>
    <col customWidth="1" min="14" max="14" width="3.71"/>
    <col customWidth="1" min="15" max="16" width="0.86"/>
    <col customWidth="1" min="17" max="26" width="8.86"/>
  </cols>
  <sheetData>
    <row r="1" ht="19.5" customHeight="1">
      <c r="A1" s="15" t="s">
        <v>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  <c r="O1" s="18"/>
      <c r="P1" s="18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4.5" customHeight="1">
      <c r="A2" s="20"/>
      <c r="B2" s="21"/>
      <c r="C2" s="22"/>
      <c r="D2" s="22"/>
      <c r="E2" s="22"/>
      <c r="F2" s="23"/>
      <c r="G2" s="22"/>
      <c r="H2" s="21"/>
      <c r="I2" s="22"/>
      <c r="J2" s="22"/>
      <c r="K2" s="22"/>
      <c r="L2" s="23"/>
      <c r="M2" s="22"/>
      <c r="N2" s="24"/>
      <c r="O2" s="22"/>
      <c r="P2" s="22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5.0" customHeight="1">
      <c r="A3" s="25" t="str">
        <f>'S1-1,3 STRUT (3) 배면 좌'!A3</f>
        <v>현  장  명 : 용산구 한남동 383일대 근린생활시설 신축공사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7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15.0" customHeight="1">
      <c r="A4" s="25" t="s">
        <v>37</v>
      </c>
      <c r="B4" s="26"/>
      <c r="C4" s="26"/>
      <c r="D4" s="26"/>
      <c r="E4" s="26"/>
      <c r="F4" s="29"/>
      <c r="G4" s="26"/>
      <c r="H4" s="26"/>
      <c r="I4" s="26"/>
      <c r="J4" s="26"/>
      <c r="K4" s="26"/>
      <c r="L4" s="29"/>
      <c r="M4" s="26"/>
      <c r="N4" s="30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16.5" customHeight="1">
      <c r="A5" s="31"/>
      <c r="B5" s="32"/>
      <c r="C5" s="32"/>
      <c r="D5" s="32"/>
      <c r="E5" s="32"/>
      <c r="F5" s="33"/>
      <c r="G5" s="32"/>
      <c r="H5" s="32"/>
      <c r="I5" s="32"/>
      <c r="J5" s="32"/>
      <c r="K5" s="32"/>
      <c r="L5" s="33"/>
      <c r="M5" s="32"/>
      <c r="N5" s="34"/>
      <c r="O5" s="19"/>
      <c r="P5" s="19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6.5" customHeight="1">
      <c r="A6" s="35"/>
      <c r="B6" s="36"/>
      <c r="C6" s="36"/>
      <c r="D6" s="36"/>
      <c r="E6" s="36"/>
      <c r="F6" s="19"/>
      <c r="G6" s="36"/>
      <c r="H6" s="36"/>
      <c r="I6" s="36"/>
      <c r="J6" s="36"/>
      <c r="K6" s="36"/>
      <c r="L6" s="19"/>
      <c r="M6" s="36"/>
      <c r="N6" s="37"/>
      <c r="O6" s="19"/>
      <c r="P6" s="19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6.5" customHeight="1">
      <c r="A7" s="35"/>
      <c r="B7" s="36"/>
      <c r="C7" s="36"/>
      <c r="D7" s="36"/>
      <c r="E7" s="36"/>
      <c r="F7" s="19"/>
      <c r="G7" s="36"/>
      <c r="H7" s="36"/>
      <c r="I7" s="36"/>
      <c r="J7" s="36"/>
      <c r="K7" s="36"/>
      <c r="L7" s="19"/>
      <c r="M7" s="36"/>
      <c r="N7" s="37"/>
      <c r="O7" s="19"/>
      <c r="P7" s="19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16.5" customHeight="1">
      <c r="A8" s="35"/>
      <c r="B8" s="36"/>
      <c r="C8" s="36"/>
      <c r="D8" s="36"/>
      <c r="E8" s="36"/>
      <c r="F8" s="19"/>
      <c r="G8" s="36"/>
      <c r="H8" s="36"/>
      <c r="I8" s="36"/>
      <c r="J8" s="36"/>
      <c r="K8" s="36"/>
      <c r="L8" s="19"/>
      <c r="M8" s="36"/>
      <c r="N8" s="37"/>
      <c r="O8" s="19"/>
      <c r="P8" s="19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6.5" customHeight="1">
      <c r="A9" s="35"/>
      <c r="B9" s="36"/>
      <c r="C9" s="36"/>
      <c r="D9" s="36"/>
      <c r="E9" s="36"/>
      <c r="F9" s="19"/>
      <c r="G9" s="36"/>
      <c r="H9" s="36"/>
      <c r="I9" s="36"/>
      <c r="J9" s="36"/>
      <c r="K9" s="36"/>
      <c r="L9" s="19"/>
      <c r="M9" s="36"/>
      <c r="N9" s="37"/>
      <c r="O9" s="19"/>
      <c r="P9" s="19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6.5" customHeight="1">
      <c r="A10" s="35"/>
      <c r="B10" s="36"/>
      <c r="C10" s="36"/>
      <c r="D10" s="36"/>
      <c r="E10" s="36"/>
      <c r="F10" s="19"/>
      <c r="G10" s="36"/>
      <c r="H10" s="36"/>
      <c r="I10" s="36"/>
      <c r="J10" s="36"/>
      <c r="K10" s="36"/>
      <c r="L10" s="19"/>
      <c r="M10" s="36"/>
      <c r="N10" s="37"/>
      <c r="O10" s="19"/>
      <c r="P10" s="19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6.5" customHeight="1">
      <c r="A11" s="35"/>
      <c r="B11" s="36"/>
      <c r="C11" s="36"/>
      <c r="D11" s="36"/>
      <c r="E11" s="36"/>
      <c r="F11" s="19"/>
      <c r="G11" s="36"/>
      <c r="H11" s="36"/>
      <c r="I11" s="36"/>
      <c r="J11" s="36"/>
      <c r="K11" s="36"/>
      <c r="L11" s="19"/>
      <c r="M11" s="36"/>
      <c r="N11" s="37"/>
      <c r="O11" s="19"/>
      <c r="P11" s="19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6.5" customHeight="1">
      <c r="A12" s="35"/>
      <c r="B12" s="36"/>
      <c r="C12" s="36"/>
      <c r="D12" s="36"/>
      <c r="E12" s="36"/>
      <c r="F12" s="19"/>
      <c r="G12" s="36"/>
      <c r="H12" s="36"/>
      <c r="I12" s="36"/>
      <c r="J12" s="36"/>
      <c r="K12" s="36"/>
      <c r="L12" s="19"/>
      <c r="M12" s="36"/>
      <c r="N12" s="37"/>
      <c r="O12" s="19"/>
      <c r="P12" s="19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6.5" customHeight="1">
      <c r="A13" s="35"/>
      <c r="B13" s="36"/>
      <c r="C13" s="36"/>
      <c r="D13" s="36"/>
      <c r="E13" s="36"/>
      <c r="F13" s="19"/>
      <c r="G13" s="36"/>
      <c r="H13" s="36"/>
      <c r="I13" s="36"/>
      <c r="J13" s="36"/>
      <c r="K13" s="36"/>
      <c r="L13" s="19"/>
      <c r="M13" s="36"/>
      <c r="N13" s="37"/>
      <c r="O13" s="19"/>
      <c r="P13" s="19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6.5" customHeight="1">
      <c r="A14" s="35"/>
      <c r="B14" s="36"/>
      <c r="C14" s="36"/>
      <c r="D14" s="36"/>
      <c r="E14" s="36"/>
      <c r="F14" s="19"/>
      <c r="G14" s="36"/>
      <c r="H14" s="36"/>
      <c r="I14" s="36"/>
      <c r="J14" s="36"/>
      <c r="K14" s="36"/>
      <c r="L14" s="19"/>
      <c r="M14" s="36"/>
      <c r="N14" s="37"/>
      <c r="O14" s="19"/>
      <c r="P14" s="19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6.5" customHeight="1">
      <c r="A15" s="35"/>
      <c r="B15" s="36"/>
      <c r="C15" s="36"/>
      <c r="D15" s="36"/>
      <c r="E15" s="36"/>
      <c r="F15" s="19"/>
      <c r="G15" s="36"/>
      <c r="H15" s="36"/>
      <c r="I15" s="36"/>
      <c r="J15" s="36"/>
      <c r="K15" s="36"/>
      <c r="L15" s="19"/>
      <c r="M15" s="36"/>
      <c r="N15" s="37"/>
      <c r="O15" s="19"/>
      <c r="P15" s="19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6.5" customHeight="1">
      <c r="A16" s="38"/>
      <c r="B16" s="39"/>
      <c r="C16" s="39"/>
      <c r="D16" s="39"/>
      <c r="E16" s="39"/>
      <c r="F16" s="40"/>
      <c r="G16" s="39"/>
      <c r="H16" s="39"/>
      <c r="I16" s="39"/>
      <c r="J16" s="39"/>
      <c r="K16" s="39"/>
      <c r="L16" s="40"/>
      <c r="M16" s="39"/>
      <c r="N16" s="41"/>
      <c r="O16" s="19"/>
      <c r="P16" s="19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5.0" customHeight="1">
      <c r="A17" s="42" t="s">
        <v>7</v>
      </c>
      <c r="B17" s="43" t="s">
        <v>38</v>
      </c>
      <c r="C17" s="44"/>
      <c r="D17" s="45"/>
      <c r="E17" s="46" t="s">
        <v>9</v>
      </c>
      <c r="F17" s="44"/>
      <c r="G17" s="45"/>
      <c r="H17" s="46" t="s">
        <v>10</v>
      </c>
      <c r="I17" s="44"/>
      <c r="J17" s="45"/>
      <c r="K17" s="46" t="s">
        <v>11</v>
      </c>
      <c r="L17" s="44"/>
      <c r="M17" s="45"/>
      <c r="N17" s="47" t="s">
        <v>12</v>
      </c>
      <c r="O17" s="48"/>
      <c r="P17" s="4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5.0" customHeight="1">
      <c r="A18" s="49"/>
      <c r="B18" s="50" t="s">
        <v>13</v>
      </c>
      <c r="C18" s="50" t="s">
        <v>14</v>
      </c>
      <c r="D18" s="52" t="s">
        <v>15</v>
      </c>
      <c r="E18" s="50" t="s">
        <v>13</v>
      </c>
      <c r="F18" s="50" t="s">
        <v>14</v>
      </c>
      <c r="G18" s="52" t="s">
        <v>15</v>
      </c>
      <c r="H18" s="50" t="s">
        <v>13</v>
      </c>
      <c r="I18" s="50" t="s">
        <v>14</v>
      </c>
      <c r="J18" s="52" t="s">
        <v>15</v>
      </c>
      <c r="K18" s="50" t="s">
        <v>13</v>
      </c>
      <c r="L18" s="50" t="s">
        <v>14</v>
      </c>
      <c r="M18" s="52" t="s">
        <v>15</v>
      </c>
      <c r="N18" s="53"/>
      <c r="O18" s="48"/>
      <c r="P18" s="4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5.0" customHeight="1">
      <c r="A19" s="54"/>
      <c r="B19" s="55" t="s">
        <v>39</v>
      </c>
      <c r="C19" s="55" t="s">
        <v>40</v>
      </c>
      <c r="D19" s="58" t="s">
        <v>41</v>
      </c>
      <c r="E19" s="55" t="s">
        <v>39</v>
      </c>
      <c r="F19" s="55" t="s">
        <v>40</v>
      </c>
      <c r="G19" s="58" t="s">
        <v>41</v>
      </c>
      <c r="H19" s="55" t="s">
        <v>39</v>
      </c>
      <c r="I19" s="55" t="s">
        <v>40</v>
      </c>
      <c r="J19" s="58" t="s">
        <v>41</v>
      </c>
      <c r="K19" s="55" t="s">
        <v>39</v>
      </c>
      <c r="L19" s="55" t="s">
        <v>40</v>
      </c>
      <c r="M19" s="58" t="s">
        <v>41</v>
      </c>
      <c r="N19" s="59"/>
      <c r="O19" s="60"/>
      <c r="P19" s="60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5.0" customHeight="1">
      <c r="A20" s="61">
        <v>45930.0</v>
      </c>
      <c r="B20" s="62">
        <v>3282.0</v>
      </c>
      <c r="C20" s="62">
        <v>2833.0</v>
      </c>
      <c r="D20" s="63"/>
      <c r="E20" s="64">
        <f t="shared" ref="E20:E27" si="3">(B20-$B$20)*2.1</f>
        <v>0</v>
      </c>
      <c r="F20" s="74">
        <f t="shared" ref="F20:F27" si="4">(C20-$C$20)*2.1</f>
        <v>0</v>
      </c>
      <c r="G20" s="66"/>
      <c r="H20" s="64">
        <f t="shared" ref="H20:I20" si="1">E20*0.0980665</f>
        <v>0</v>
      </c>
      <c r="I20" s="74">
        <f t="shared" si="1"/>
        <v>0</v>
      </c>
      <c r="J20" s="67"/>
      <c r="K20" s="64">
        <f t="shared" ref="K20:L20" si="2">(E20*119.8)/1000</f>
        <v>0</v>
      </c>
      <c r="L20" s="65">
        <f t="shared" si="2"/>
        <v>0</v>
      </c>
      <c r="M20" s="67"/>
      <c r="N20" s="68"/>
      <c r="O20" s="69"/>
      <c r="P20" s="69"/>
      <c r="Q20" s="70" t="s">
        <v>29</v>
      </c>
      <c r="R20" s="70"/>
      <c r="S20" s="70"/>
      <c r="T20" s="70"/>
      <c r="U20" s="70"/>
      <c r="V20" s="70"/>
      <c r="W20" s="70"/>
      <c r="X20" s="70"/>
      <c r="Y20" s="70"/>
      <c r="Z20" s="70"/>
    </row>
    <row r="21" ht="15.0" customHeight="1">
      <c r="A21" s="61">
        <v>45932.0</v>
      </c>
      <c r="B21" s="62">
        <v>3270.0</v>
      </c>
      <c r="C21" s="62">
        <v>2825.0</v>
      </c>
      <c r="D21" s="63"/>
      <c r="E21" s="64">
        <f t="shared" si="3"/>
        <v>-25.2</v>
      </c>
      <c r="F21" s="74">
        <f t="shared" si="4"/>
        <v>-16.8</v>
      </c>
      <c r="G21" s="66"/>
      <c r="H21" s="64">
        <f t="shared" ref="H21:I21" si="5">E21*0.0980665</f>
        <v>-2.4712758</v>
      </c>
      <c r="I21" s="74">
        <f t="shared" si="5"/>
        <v>-1.6475172</v>
      </c>
      <c r="J21" s="67"/>
      <c r="K21" s="64">
        <f t="shared" ref="K21:L21" si="6">(E21*119.8)/1000</f>
        <v>-3.01896</v>
      </c>
      <c r="L21" s="65">
        <f t="shared" si="6"/>
        <v>-2.01264</v>
      </c>
      <c r="M21" s="67"/>
      <c r="N21" s="68"/>
      <c r="O21" s="69"/>
      <c r="P21" s="69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 ht="15.0" customHeight="1">
      <c r="A22" s="61">
        <v>45944.0</v>
      </c>
      <c r="B22" s="62">
        <v>3271.0</v>
      </c>
      <c r="C22" s="62">
        <v>2822.0</v>
      </c>
      <c r="D22" s="63"/>
      <c r="E22" s="64">
        <f t="shared" si="3"/>
        <v>-23.1</v>
      </c>
      <c r="F22" s="74">
        <f t="shared" si="4"/>
        <v>-23.1</v>
      </c>
      <c r="G22" s="66"/>
      <c r="H22" s="64">
        <f t="shared" ref="H22:I22" si="7">E22*0.0980665</f>
        <v>-2.26533615</v>
      </c>
      <c r="I22" s="74">
        <f t="shared" si="7"/>
        <v>-2.26533615</v>
      </c>
      <c r="J22" s="67"/>
      <c r="K22" s="64">
        <f t="shared" ref="K22:L22" si="8">(E22*119.8)/1000</f>
        <v>-2.76738</v>
      </c>
      <c r="L22" s="65">
        <f t="shared" si="8"/>
        <v>-2.76738</v>
      </c>
      <c r="M22" s="67"/>
      <c r="N22" s="68"/>
      <c r="O22" s="69"/>
      <c r="P22" s="69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 ht="15.0" customHeight="1">
      <c r="A23" s="61">
        <v>45946.0</v>
      </c>
      <c r="B23" s="62">
        <v>3274.0</v>
      </c>
      <c r="C23" s="62">
        <v>2829.0</v>
      </c>
      <c r="D23" s="63"/>
      <c r="E23" s="64">
        <f t="shared" si="3"/>
        <v>-16.8</v>
      </c>
      <c r="F23" s="74">
        <f t="shared" si="4"/>
        <v>-8.4</v>
      </c>
      <c r="G23" s="66"/>
      <c r="H23" s="64">
        <f t="shared" ref="H23:I23" si="9">E23*0.0980665</f>
        <v>-1.6475172</v>
      </c>
      <c r="I23" s="74">
        <f t="shared" si="9"/>
        <v>-0.8237586</v>
      </c>
      <c r="J23" s="67"/>
      <c r="K23" s="64">
        <f t="shared" ref="K23:L23" si="10">(E23*119.8)/1000</f>
        <v>-2.01264</v>
      </c>
      <c r="L23" s="65">
        <f t="shared" si="10"/>
        <v>-1.00632</v>
      </c>
      <c r="M23" s="67"/>
      <c r="N23" s="68"/>
      <c r="O23" s="69"/>
      <c r="P23" s="69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 ht="15.0" customHeight="1">
      <c r="A24" s="61">
        <v>45953.0</v>
      </c>
      <c r="B24" s="62">
        <v>3271.0</v>
      </c>
      <c r="C24" s="62">
        <v>2825.0</v>
      </c>
      <c r="D24" s="63">
        <v>2744.0</v>
      </c>
      <c r="E24" s="64">
        <f t="shared" si="3"/>
        <v>-23.1</v>
      </c>
      <c r="F24" s="74">
        <f t="shared" si="4"/>
        <v>-16.8</v>
      </c>
      <c r="G24" s="66">
        <f t="shared" ref="G24:G27" si="13">(D24-$D$24)*2.1</f>
        <v>0</v>
      </c>
      <c r="H24" s="64">
        <f t="shared" ref="H24:J24" si="11">E24*0.0980665</f>
        <v>-2.26533615</v>
      </c>
      <c r="I24" s="74">
        <f t="shared" si="11"/>
        <v>-1.6475172</v>
      </c>
      <c r="J24" s="67">
        <f t="shared" si="11"/>
        <v>0</v>
      </c>
      <c r="K24" s="64">
        <f t="shared" ref="K24:M24" si="12">(E24*119.8)/1000</f>
        <v>-2.76738</v>
      </c>
      <c r="L24" s="65">
        <f t="shared" si="12"/>
        <v>-2.01264</v>
      </c>
      <c r="M24" s="67">
        <f t="shared" si="12"/>
        <v>0</v>
      </c>
      <c r="N24" s="68"/>
      <c r="O24" s="69"/>
      <c r="P24" s="69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 ht="15.0" customHeight="1">
      <c r="A25" s="61">
        <v>45959.0</v>
      </c>
      <c r="B25" s="62">
        <v>3277.0</v>
      </c>
      <c r="C25" s="62">
        <v>2830.0</v>
      </c>
      <c r="D25" s="63">
        <v>2750.0</v>
      </c>
      <c r="E25" s="64">
        <f t="shared" si="3"/>
        <v>-10.5</v>
      </c>
      <c r="F25" s="74">
        <f t="shared" si="4"/>
        <v>-6.3</v>
      </c>
      <c r="G25" s="66">
        <f t="shared" si="13"/>
        <v>12.6</v>
      </c>
      <c r="H25" s="64">
        <f t="shared" ref="H25:J25" si="14">E25*0.0980665</f>
        <v>-1.02969825</v>
      </c>
      <c r="I25" s="74">
        <f t="shared" si="14"/>
        <v>-0.61781895</v>
      </c>
      <c r="J25" s="67">
        <f t="shared" si="14"/>
        <v>1.2356379</v>
      </c>
      <c r="K25" s="64">
        <f t="shared" ref="K25:M25" si="15">(E25*119.8)/1000</f>
        <v>-1.2579</v>
      </c>
      <c r="L25" s="65">
        <f t="shared" si="15"/>
        <v>-0.75474</v>
      </c>
      <c r="M25" s="67">
        <f t="shared" si="15"/>
        <v>1.50948</v>
      </c>
      <c r="N25" s="71"/>
      <c r="O25" s="72"/>
      <c r="P25" s="72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 ht="15.0" customHeight="1">
      <c r="A26" s="61">
        <v>45966.0</v>
      </c>
      <c r="B26" s="62">
        <v>3275.0</v>
      </c>
      <c r="C26" s="62">
        <v>2825.0</v>
      </c>
      <c r="D26" s="62">
        <v>2763.0</v>
      </c>
      <c r="E26" s="64">
        <f t="shared" si="3"/>
        <v>-14.7</v>
      </c>
      <c r="F26" s="74">
        <f t="shared" si="4"/>
        <v>-16.8</v>
      </c>
      <c r="G26" s="66">
        <f t="shared" si="13"/>
        <v>39.9</v>
      </c>
      <c r="H26" s="64">
        <f t="shared" ref="H26:J26" si="16">E26*0.0980665</f>
        <v>-1.44157755</v>
      </c>
      <c r="I26" s="74">
        <f t="shared" si="16"/>
        <v>-1.6475172</v>
      </c>
      <c r="J26" s="67">
        <f t="shared" si="16"/>
        <v>3.91285335</v>
      </c>
      <c r="K26" s="64">
        <f t="shared" ref="K26:M26" si="17">(E26*119.8)/1000</f>
        <v>-1.76106</v>
      </c>
      <c r="L26" s="65">
        <f t="shared" si="17"/>
        <v>-2.01264</v>
      </c>
      <c r="M26" s="67">
        <f t="shared" si="17"/>
        <v>4.78002</v>
      </c>
      <c r="N26" s="71"/>
      <c r="O26" s="72"/>
      <c r="P26" s="72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ht="15.0" customHeight="1">
      <c r="A27" s="61">
        <v>45971.0</v>
      </c>
      <c r="B27" s="62">
        <v>3265.0</v>
      </c>
      <c r="C27" s="62">
        <v>2818.0</v>
      </c>
      <c r="D27" s="62">
        <v>2754.0</v>
      </c>
      <c r="E27" s="64">
        <f t="shared" si="3"/>
        <v>-35.7</v>
      </c>
      <c r="F27" s="74">
        <f t="shared" si="4"/>
        <v>-31.5</v>
      </c>
      <c r="G27" s="66">
        <f t="shared" si="13"/>
        <v>21</v>
      </c>
      <c r="H27" s="64">
        <f t="shared" ref="H27:J27" si="18">E27*0.0980665</f>
        <v>-3.50097405</v>
      </c>
      <c r="I27" s="74">
        <f t="shared" si="18"/>
        <v>-3.08909475</v>
      </c>
      <c r="J27" s="67">
        <f t="shared" si="18"/>
        <v>2.0593965</v>
      </c>
      <c r="K27" s="64">
        <f t="shared" ref="K27:M27" si="19">(E27*119.8)/1000</f>
        <v>-4.27686</v>
      </c>
      <c r="L27" s="65">
        <f t="shared" si="19"/>
        <v>-3.7737</v>
      </c>
      <c r="M27" s="67">
        <f t="shared" si="19"/>
        <v>2.5158</v>
      </c>
      <c r="N27" s="71"/>
      <c r="O27" s="72"/>
      <c r="P27" s="72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ht="15.0" customHeight="1">
      <c r="A28" s="61"/>
      <c r="B28" s="62"/>
      <c r="C28" s="62"/>
      <c r="D28" s="63"/>
      <c r="E28" s="64"/>
      <c r="F28" s="65"/>
      <c r="G28" s="65"/>
      <c r="H28" s="64"/>
      <c r="I28" s="65"/>
      <c r="J28" s="67"/>
      <c r="K28" s="64"/>
      <c r="L28" s="65"/>
      <c r="M28" s="67"/>
      <c r="N28" s="71"/>
      <c r="O28" s="72"/>
      <c r="P28" s="72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 ht="15.0" customHeight="1">
      <c r="A29" s="61"/>
      <c r="B29" s="62"/>
      <c r="C29" s="62"/>
      <c r="D29" s="63"/>
      <c r="E29" s="64"/>
      <c r="F29" s="65"/>
      <c r="G29" s="65"/>
      <c r="H29" s="64"/>
      <c r="I29" s="65"/>
      <c r="J29" s="67"/>
      <c r="K29" s="64"/>
      <c r="L29" s="65"/>
      <c r="M29" s="67"/>
      <c r="N29" s="76"/>
      <c r="O29" s="72"/>
      <c r="P29" s="72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 ht="15.0" customHeight="1">
      <c r="A30" s="61"/>
      <c r="B30" s="62"/>
      <c r="C30" s="62"/>
      <c r="D30" s="63"/>
      <c r="E30" s="64"/>
      <c r="F30" s="65"/>
      <c r="G30" s="65"/>
      <c r="H30" s="64"/>
      <c r="I30" s="65"/>
      <c r="J30" s="67"/>
      <c r="K30" s="64"/>
      <c r="L30" s="65"/>
      <c r="M30" s="67"/>
      <c r="N30" s="71"/>
      <c r="O30" s="72"/>
      <c r="P30" s="72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 ht="15.0" customHeight="1">
      <c r="A31" s="61"/>
      <c r="B31" s="62"/>
      <c r="C31" s="62"/>
      <c r="D31" s="63"/>
      <c r="E31" s="64"/>
      <c r="F31" s="65"/>
      <c r="G31" s="65"/>
      <c r="H31" s="64"/>
      <c r="I31" s="65"/>
      <c r="J31" s="67"/>
      <c r="K31" s="64"/>
      <c r="L31" s="65"/>
      <c r="M31" s="67"/>
      <c r="N31" s="71"/>
      <c r="O31" s="72"/>
      <c r="P31" s="72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 ht="15.0" customHeight="1">
      <c r="A32" s="61"/>
      <c r="B32" s="62"/>
      <c r="C32" s="62"/>
      <c r="D32" s="63"/>
      <c r="E32" s="64"/>
      <c r="F32" s="65"/>
      <c r="G32" s="65"/>
      <c r="H32" s="64"/>
      <c r="I32" s="74"/>
      <c r="J32" s="75"/>
      <c r="K32" s="64"/>
      <c r="L32" s="75"/>
      <c r="M32" s="67"/>
      <c r="N32" s="76"/>
      <c r="O32" s="72"/>
      <c r="P32" s="72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ht="15.0" customHeight="1">
      <c r="A33" s="77"/>
      <c r="B33" s="78"/>
      <c r="C33" s="78"/>
      <c r="D33" s="78"/>
      <c r="E33" s="79"/>
      <c r="F33" s="80"/>
      <c r="G33" s="81"/>
      <c r="H33" s="79"/>
      <c r="I33" s="80"/>
      <c r="J33" s="82"/>
      <c r="K33" s="79"/>
      <c r="L33" s="83"/>
      <c r="M33" s="82"/>
      <c r="N33" s="71"/>
      <c r="O33" s="72"/>
      <c r="P33" s="72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 ht="15.0" customHeight="1">
      <c r="A34" s="77"/>
      <c r="B34" s="78"/>
      <c r="C34" s="78"/>
      <c r="D34" s="78"/>
      <c r="E34" s="79"/>
      <c r="F34" s="80"/>
      <c r="G34" s="81"/>
      <c r="H34" s="79"/>
      <c r="I34" s="80"/>
      <c r="J34" s="82"/>
      <c r="K34" s="79"/>
      <c r="L34" s="83"/>
      <c r="M34" s="82"/>
      <c r="N34" s="71"/>
      <c r="O34" s="72"/>
      <c r="P34" s="72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 ht="15.0" customHeight="1">
      <c r="A35" s="77"/>
      <c r="B35" s="78"/>
      <c r="C35" s="78"/>
      <c r="D35" s="78"/>
      <c r="E35" s="79"/>
      <c r="F35" s="80"/>
      <c r="G35" s="81"/>
      <c r="H35" s="79"/>
      <c r="I35" s="80"/>
      <c r="J35" s="82"/>
      <c r="K35" s="79"/>
      <c r="L35" s="83"/>
      <c r="M35" s="82"/>
      <c r="N35" s="71"/>
      <c r="O35" s="72"/>
      <c r="P35" s="72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 ht="15.0" customHeight="1">
      <c r="A36" s="77"/>
      <c r="B36" s="78"/>
      <c r="C36" s="78"/>
      <c r="D36" s="78"/>
      <c r="E36" s="79"/>
      <c r="F36" s="80"/>
      <c r="G36" s="81"/>
      <c r="H36" s="79"/>
      <c r="I36" s="80"/>
      <c r="J36" s="82"/>
      <c r="K36" s="79"/>
      <c r="L36" s="83"/>
      <c r="M36" s="82"/>
      <c r="N36" s="71"/>
      <c r="O36" s="72"/>
      <c r="P36" s="72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 ht="15.0" customHeight="1">
      <c r="A37" s="77"/>
      <c r="B37" s="78"/>
      <c r="C37" s="78"/>
      <c r="D37" s="78"/>
      <c r="E37" s="79"/>
      <c r="F37" s="80"/>
      <c r="G37" s="81"/>
      <c r="H37" s="79"/>
      <c r="I37" s="80"/>
      <c r="J37" s="82"/>
      <c r="K37" s="79"/>
      <c r="L37" s="83"/>
      <c r="M37" s="82"/>
      <c r="N37" s="71"/>
      <c r="O37" s="72"/>
      <c r="P37" s="72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ht="15.0" customHeight="1">
      <c r="A38" s="77"/>
      <c r="B38" s="78"/>
      <c r="C38" s="78"/>
      <c r="D38" s="78"/>
      <c r="E38" s="79"/>
      <c r="F38" s="80"/>
      <c r="G38" s="81"/>
      <c r="H38" s="79"/>
      <c r="I38" s="80"/>
      <c r="J38" s="82"/>
      <c r="K38" s="79"/>
      <c r="L38" s="83"/>
      <c r="M38" s="82"/>
      <c r="N38" s="71"/>
      <c r="O38" s="72"/>
      <c r="P38" s="72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ht="15.0" customHeight="1">
      <c r="A39" s="77"/>
      <c r="B39" s="78"/>
      <c r="C39" s="78"/>
      <c r="D39" s="78"/>
      <c r="E39" s="79"/>
      <c r="F39" s="80"/>
      <c r="G39" s="81"/>
      <c r="H39" s="79"/>
      <c r="I39" s="80"/>
      <c r="J39" s="82"/>
      <c r="K39" s="79"/>
      <c r="L39" s="83"/>
      <c r="M39" s="82"/>
      <c r="N39" s="71"/>
      <c r="O39" s="72"/>
      <c r="P39" s="72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 ht="15.0" customHeight="1">
      <c r="A40" s="77"/>
      <c r="B40" s="78"/>
      <c r="C40" s="78"/>
      <c r="D40" s="78"/>
      <c r="E40" s="79"/>
      <c r="F40" s="80"/>
      <c r="G40" s="81"/>
      <c r="H40" s="79"/>
      <c r="I40" s="80"/>
      <c r="J40" s="82"/>
      <c r="K40" s="79"/>
      <c r="L40" s="83"/>
      <c r="M40" s="82"/>
      <c r="N40" s="71"/>
      <c r="O40" s="72"/>
      <c r="P40" s="72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ht="15.0" customHeight="1">
      <c r="A41" s="77"/>
      <c r="B41" s="78"/>
      <c r="C41" s="78"/>
      <c r="D41" s="78"/>
      <c r="E41" s="79"/>
      <c r="F41" s="80"/>
      <c r="G41" s="81"/>
      <c r="H41" s="79"/>
      <c r="I41" s="80"/>
      <c r="J41" s="82"/>
      <c r="K41" s="79"/>
      <c r="L41" s="83"/>
      <c r="M41" s="82"/>
      <c r="N41" s="71"/>
      <c r="O41" s="72"/>
      <c r="P41" s="72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 ht="15.0" customHeight="1">
      <c r="A42" s="77"/>
      <c r="B42" s="78"/>
      <c r="C42" s="78"/>
      <c r="D42" s="78"/>
      <c r="E42" s="79"/>
      <c r="F42" s="80"/>
      <c r="G42" s="81"/>
      <c r="H42" s="79"/>
      <c r="I42" s="80"/>
      <c r="J42" s="82"/>
      <c r="K42" s="79"/>
      <c r="L42" s="83"/>
      <c r="M42" s="82"/>
      <c r="N42" s="71"/>
      <c r="O42" s="72"/>
      <c r="P42" s="72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 ht="15.0" customHeight="1">
      <c r="A43" s="77"/>
      <c r="B43" s="78"/>
      <c r="C43" s="78"/>
      <c r="D43" s="78"/>
      <c r="E43" s="79"/>
      <c r="F43" s="80"/>
      <c r="G43" s="81"/>
      <c r="H43" s="79"/>
      <c r="I43" s="80"/>
      <c r="J43" s="82"/>
      <c r="K43" s="79"/>
      <c r="L43" s="83"/>
      <c r="M43" s="82"/>
      <c r="N43" s="71"/>
      <c r="O43" s="72"/>
      <c r="P43" s="72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ht="15.0" customHeight="1">
      <c r="A44" s="77"/>
      <c r="B44" s="78"/>
      <c r="C44" s="78"/>
      <c r="D44" s="78"/>
      <c r="E44" s="79"/>
      <c r="F44" s="80"/>
      <c r="G44" s="81"/>
      <c r="H44" s="79"/>
      <c r="I44" s="80"/>
      <c r="J44" s="82"/>
      <c r="K44" s="79"/>
      <c r="L44" s="83"/>
      <c r="M44" s="82"/>
      <c r="N44" s="71"/>
      <c r="O44" s="72"/>
      <c r="P44" s="72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ht="15.0" customHeight="1">
      <c r="A45" s="77"/>
      <c r="B45" s="78"/>
      <c r="C45" s="78"/>
      <c r="D45" s="78"/>
      <c r="E45" s="79"/>
      <c r="F45" s="80"/>
      <c r="G45" s="81"/>
      <c r="H45" s="79"/>
      <c r="I45" s="80"/>
      <c r="J45" s="82"/>
      <c r="K45" s="79"/>
      <c r="L45" s="83"/>
      <c r="M45" s="82"/>
      <c r="N45" s="71"/>
      <c r="O45" s="72"/>
      <c r="P45" s="72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ht="15.0" customHeight="1">
      <c r="A46" s="77"/>
      <c r="B46" s="78"/>
      <c r="C46" s="78"/>
      <c r="D46" s="78"/>
      <c r="E46" s="79"/>
      <c r="F46" s="80"/>
      <c r="G46" s="81"/>
      <c r="H46" s="79"/>
      <c r="I46" s="80"/>
      <c r="J46" s="82"/>
      <c r="K46" s="79"/>
      <c r="L46" s="83"/>
      <c r="M46" s="82"/>
      <c r="N46" s="71"/>
      <c r="O46" s="72"/>
      <c r="P46" s="72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ht="15.0" customHeight="1">
      <c r="A47" s="77"/>
      <c r="B47" s="78"/>
      <c r="C47" s="78"/>
      <c r="D47" s="78"/>
      <c r="E47" s="79"/>
      <c r="F47" s="80"/>
      <c r="G47" s="81"/>
      <c r="H47" s="79"/>
      <c r="I47" s="80"/>
      <c r="J47" s="82"/>
      <c r="K47" s="79"/>
      <c r="L47" s="83"/>
      <c r="M47" s="82"/>
      <c r="N47" s="71"/>
      <c r="O47" s="72"/>
      <c r="P47" s="72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 ht="15.0" customHeight="1">
      <c r="A48" s="77"/>
      <c r="B48" s="78"/>
      <c r="C48" s="78"/>
      <c r="D48" s="78"/>
      <c r="E48" s="79"/>
      <c r="F48" s="80"/>
      <c r="G48" s="81"/>
      <c r="H48" s="79"/>
      <c r="I48" s="80"/>
      <c r="J48" s="82"/>
      <c r="K48" s="79"/>
      <c r="L48" s="83"/>
      <c r="M48" s="82"/>
      <c r="N48" s="71"/>
      <c r="O48" s="72"/>
      <c r="P48" s="72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 ht="15.0" customHeight="1">
      <c r="A49" s="77"/>
      <c r="B49" s="78"/>
      <c r="C49" s="78"/>
      <c r="D49" s="78"/>
      <c r="E49" s="79"/>
      <c r="F49" s="80"/>
      <c r="G49" s="81"/>
      <c r="H49" s="79"/>
      <c r="I49" s="80"/>
      <c r="J49" s="82"/>
      <c r="K49" s="79"/>
      <c r="L49" s="83"/>
      <c r="M49" s="82"/>
      <c r="N49" s="71"/>
      <c r="O49" s="72"/>
      <c r="P49" s="72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 ht="15.0" customHeight="1">
      <c r="A50" s="77"/>
      <c r="B50" s="78"/>
      <c r="C50" s="78"/>
      <c r="D50" s="78"/>
      <c r="E50" s="79"/>
      <c r="F50" s="80"/>
      <c r="G50" s="81"/>
      <c r="H50" s="79"/>
      <c r="I50" s="80"/>
      <c r="J50" s="82"/>
      <c r="K50" s="79"/>
      <c r="L50" s="83"/>
      <c r="M50" s="82"/>
      <c r="N50" s="71"/>
      <c r="O50" s="72"/>
      <c r="P50" s="72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ht="15.0" customHeight="1">
      <c r="A51" s="77"/>
      <c r="B51" s="78"/>
      <c r="C51" s="78"/>
      <c r="D51" s="78"/>
      <c r="E51" s="79"/>
      <c r="F51" s="80"/>
      <c r="G51" s="81"/>
      <c r="H51" s="79"/>
      <c r="I51" s="80"/>
      <c r="J51" s="82"/>
      <c r="K51" s="79"/>
      <c r="L51" s="83"/>
      <c r="M51" s="82"/>
      <c r="N51" s="71"/>
      <c r="O51" s="72"/>
      <c r="P51" s="72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 ht="15.0" customHeight="1">
      <c r="A52" s="77"/>
      <c r="B52" s="78"/>
      <c r="C52" s="78"/>
      <c r="D52" s="78"/>
      <c r="E52" s="79"/>
      <c r="F52" s="80"/>
      <c r="G52" s="81"/>
      <c r="H52" s="79"/>
      <c r="I52" s="80"/>
      <c r="J52" s="82"/>
      <c r="K52" s="79"/>
      <c r="L52" s="83"/>
      <c r="M52" s="82"/>
      <c r="N52" s="71"/>
      <c r="O52" s="72"/>
      <c r="P52" s="72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ht="15.0" customHeight="1">
      <c r="A53" s="77"/>
      <c r="B53" s="78"/>
      <c r="C53" s="78"/>
      <c r="D53" s="78"/>
      <c r="E53" s="79"/>
      <c r="F53" s="80"/>
      <c r="G53" s="81"/>
      <c r="H53" s="79"/>
      <c r="I53" s="80"/>
      <c r="J53" s="82"/>
      <c r="K53" s="79"/>
      <c r="L53" s="83"/>
      <c r="M53" s="82"/>
      <c r="N53" s="71"/>
      <c r="O53" s="72"/>
      <c r="P53" s="72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ht="15.0" customHeight="1">
      <c r="A54" s="77"/>
      <c r="B54" s="78"/>
      <c r="C54" s="78"/>
      <c r="D54" s="78"/>
      <c r="E54" s="79"/>
      <c r="F54" s="80"/>
      <c r="G54" s="81"/>
      <c r="H54" s="79"/>
      <c r="I54" s="80"/>
      <c r="J54" s="82"/>
      <c r="K54" s="79"/>
      <c r="L54" s="83"/>
      <c r="M54" s="82"/>
      <c r="N54" s="71"/>
      <c r="O54" s="72"/>
      <c r="P54" s="72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ht="15.0" customHeight="1">
      <c r="A55" s="77"/>
      <c r="B55" s="78"/>
      <c r="C55" s="78"/>
      <c r="D55" s="78"/>
      <c r="E55" s="79"/>
      <c r="F55" s="80"/>
      <c r="G55" s="81"/>
      <c r="H55" s="79"/>
      <c r="I55" s="80"/>
      <c r="J55" s="82"/>
      <c r="K55" s="79"/>
      <c r="L55" s="83"/>
      <c r="M55" s="82"/>
      <c r="N55" s="71"/>
      <c r="O55" s="72"/>
      <c r="P55" s="72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 ht="15.0" customHeight="1">
      <c r="A56" s="77"/>
      <c r="B56" s="78"/>
      <c r="C56" s="78"/>
      <c r="D56" s="78"/>
      <c r="E56" s="79"/>
      <c r="F56" s="80"/>
      <c r="G56" s="81"/>
      <c r="H56" s="79"/>
      <c r="I56" s="80"/>
      <c r="J56" s="82"/>
      <c r="K56" s="79"/>
      <c r="L56" s="83"/>
      <c r="M56" s="82"/>
      <c r="N56" s="71"/>
      <c r="O56" s="72"/>
      <c r="P56" s="72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 ht="15.0" customHeight="1">
      <c r="A57" s="77"/>
      <c r="B57" s="78"/>
      <c r="C57" s="78"/>
      <c r="D57" s="78"/>
      <c r="E57" s="79"/>
      <c r="F57" s="80"/>
      <c r="G57" s="81"/>
      <c r="H57" s="79"/>
      <c r="I57" s="80"/>
      <c r="J57" s="82"/>
      <c r="K57" s="79"/>
      <c r="L57" s="83"/>
      <c r="M57" s="82"/>
      <c r="N57" s="71"/>
      <c r="O57" s="72"/>
      <c r="P57" s="72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ht="15.0" customHeight="1">
      <c r="A58" s="77"/>
      <c r="B58" s="78"/>
      <c r="C58" s="78"/>
      <c r="D58" s="78"/>
      <c r="E58" s="79"/>
      <c r="F58" s="80"/>
      <c r="G58" s="81"/>
      <c r="H58" s="79"/>
      <c r="I58" s="80"/>
      <c r="J58" s="82"/>
      <c r="K58" s="79"/>
      <c r="L58" s="83"/>
      <c r="M58" s="82"/>
      <c r="N58" s="71"/>
      <c r="O58" s="72"/>
      <c r="P58" s="72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ht="15.0" customHeight="1">
      <c r="A59" s="77"/>
      <c r="B59" s="78"/>
      <c r="C59" s="78"/>
      <c r="D59" s="78"/>
      <c r="E59" s="79"/>
      <c r="F59" s="80"/>
      <c r="G59" s="81"/>
      <c r="H59" s="79"/>
      <c r="I59" s="80"/>
      <c r="J59" s="82"/>
      <c r="K59" s="79"/>
      <c r="L59" s="83"/>
      <c r="M59" s="82"/>
      <c r="N59" s="71"/>
      <c r="O59" s="72"/>
      <c r="P59" s="72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ht="15.0" customHeight="1">
      <c r="A60" s="77"/>
      <c r="B60" s="78"/>
      <c r="C60" s="78"/>
      <c r="D60" s="78"/>
      <c r="E60" s="79"/>
      <c r="F60" s="80"/>
      <c r="G60" s="81"/>
      <c r="H60" s="79"/>
      <c r="I60" s="80"/>
      <c r="J60" s="82"/>
      <c r="K60" s="79"/>
      <c r="L60" s="83"/>
      <c r="M60" s="82"/>
      <c r="N60" s="71"/>
      <c r="O60" s="72"/>
      <c r="P60" s="72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ht="15.0" customHeight="1">
      <c r="A61" s="77"/>
      <c r="B61" s="78"/>
      <c r="C61" s="78"/>
      <c r="D61" s="78"/>
      <c r="E61" s="79"/>
      <c r="F61" s="80"/>
      <c r="G61" s="81"/>
      <c r="H61" s="79"/>
      <c r="I61" s="80"/>
      <c r="J61" s="82"/>
      <c r="K61" s="79"/>
      <c r="L61" s="83"/>
      <c r="M61" s="82"/>
      <c r="N61" s="71"/>
      <c r="O61" s="72"/>
      <c r="P61" s="72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ht="15.0" customHeight="1">
      <c r="A62" s="77"/>
      <c r="B62" s="78"/>
      <c r="C62" s="78"/>
      <c r="D62" s="78"/>
      <c r="E62" s="79"/>
      <c r="F62" s="80"/>
      <c r="G62" s="81"/>
      <c r="H62" s="79"/>
      <c r="I62" s="80"/>
      <c r="J62" s="82"/>
      <c r="K62" s="79"/>
      <c r="L62" s="83"/>
      <c r="M62" s="82"/>
      <c r="N62" s="71"/>
      <c r="O62" s="72"/>
      <c r="P62" s="72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ht="15.0" customHeight="1">
      <c r="A63" s="77"/>
      <c r="B63" s="78"/>
      <c r="C63" s="78"/>
      <c r="D63" s="78"/>
      <c r="E63" s="79"/>
      <c r="F63" s="80"/>
      <c r="G63" s="81"/>
      <c r="H63" s="79"/>
      <c r="I63" s="80"/>
      <c r="J63" s="82"/>
      <c r="K63" s="79"/>
      <c r="L63" s="83"/>
      <c r="M63" s="82"/>
      <c r="N63" s="71"/>
      <c r="O63" s="72"/>
      <c r="P63" s="72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ht="15.0" customHeight="1">
      <c r="A64" s="77"/>
      <c r="B64" s="78"/>
      <c r="C64" s="78"/>
      <c r="D64" s="78"/>
      <c r="E64" s="79"/>
      <c r="F64" s="80"/>
      <c r="G64" s="81"/>
      <c r="H64" s="79"/>
      <c r="I64" s="80"/>
      <c r="J64" s="82"/>
      <c r="K64" s="79"/>
      <c r="L64" s="83"/>
      <c r="M64" s="82"/>
      <c r="N64" s="71"/>
      <c r="O64" s="72"/>
      <c r="P64" s="72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ht="15.0" customHeight="1">
      <c r="A65" s="77"/>
      <c r="B65" s="78"/>
      <c r="C65" s="78"/>
      <c r="D65" s="78"/>
      <c r="E65" s="79"/>
      <c r="F65" s="80"/>
      <c r="G65" s="81"/>
      <c r="H65" s="79"/>
      <c r="I65" s="80"/>
      <c r="J65" s="82"/>
      <c r="K65" s="79"/>
      <c r="L65" s="83"/>
      <c r="M65" s="82"/>
      <c r="N65" s="71"/>
      <c r="O65" s="72"/>
      <c r="P65" s="72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 ht="15.0" customHeight="1">
      <c r="A66" s="77"/>
      <c r="B66" s="78"/>
      <c r="C66" s="78"/>
      <c r="D66" s="78"/>
      <c r="E66" s="79"/>
      <c r="F66" s="80"/>
      <c r="G66" s="81"/>
      <c r="H66" s="79"/>
      <c r="I66" s="80"/>
      <c r="J66" s="82"/>
      <c r="K66" s="79"/>
      <c r="L66" s="83"/>
      <c r="M66" s="82"/>
      <c r="N66" s="71"/>
      <c r="O66" s="72"/>
      <c r="P66" s="72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ht="15.0" customHeight="1">
      <c r="A67" s="77"/>
      <c r="B67" s="78"/>
      <c r="C67" s="78"/>
      <c r="D67" s="78"/>
      <c r="E67" s="79"/>
      <c r="F67" s="80"/>
      <c r="G67" s="81"/>
      <c r="H67" s="79"/>
      <c r="I67" s="80"/>
      <c r="J67" s="82"/>
      <c r="K67" s="79"/>
      <c r="L67" s="83"/>
      <c r="M67" s="82"/>
      <c r="N67" s="71"/>
      <c r="O67" s="72"/>
      <c r="P67" s="72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ht="15.0" customHeight="1">
      <c r="A68" s="77"/>
      <c r="B68" s="78"/>
      <c r="C68" s="78"/>
      <c r="D68" s="78"/>
      <c r="E68" s="79"/>
      <c r="F68" s="80"/>
      <c r="G68" s="81"/>
      <c r="H68" s="79"/>
      <c r="I68" s="80"/>
      <c r="J68" s="82"/>
      <c r="K68" s="79"/>
      <c r="L68" s="83"/>
      <c r="M68" s="82"/>
      <c r="N68" s="71"/>
      <c r="O68" s="72"/>
      <c r="P68" s="72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ht="15.0" customHeight="1">
      <c r="A69" s="77"/>
      <c r="B69" s="78"/>
      <c r="C69" s="78"/>
      <c r="D69" s="78"/>
      <c r="E69" s="79"/>
      <c r="F69" s="80"/>
      <c r="G69" s="81"/>
      <c r="H69" s="79"/>
      <c r="I69" s="80"/>
      <c r="J69" s="82"/>
      <c r="K69" s="79"/>
      <c r="L69" s="83"/>
      <c r="M69" s="82"/>
      <c r="N69" s="71"/>
      <c r="O69" s="72"/>
      <c r="P69" s="72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ht="15.0" customHeight="1">
      <c r="A70" s="77"/>
      <c r="B70" s="78"/>
      <c r="C70" s="78"/>
      <c r="D70" s="84"/>
      <c r="E70" s="79"/>
      <c r="F70" s="80"/>
      <c r="G70" s="81"/>
      <c r="H70" s="79"/>
      <c r="I70" s="80"/>
      <c r="J70" s="82"/>
      <c r="K70" s="79"/>
      <c r="L70" s="83"/>
      <c r="M70" s="82"/>
      <c r="N70" s="71"/>
      <c r="O70" s="72"/>
      <c r="P70" s="72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ht="15.0" customHeight="1">
      <c r="A71" s="77"/>
      <c r="B71" s="78"/>
      <c r="C71" s="78"/>
      <c r="D71" s="84"/>
      <c r="E71" s="79"/>
      <c r="F71" s="80"/>
      <c r="G71" s="81"/>
      <c r="H71" s="79"/>
      <c r="I71" s="80"/>
      <c r="J71" s="82"/>
      <c r="K71" s="79"/>
      <c r="L71" s="83"/>
      <c r="M71" s="82"/>
      <c r="N71" s="71"/>
      <c r="O71" s="72"/>
      <c r="P71" s="72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ht="15.0" customHeight="1">
      <c r="A72" s="77"/>
      <c r="B72" s="78"/>
      <c r="C72" s="78"/>
      <c r="D72" s="84"/>
      <c r="E72" s="79"/>
      <c r="F72" s="80"/>
      <c r="G72" s="81"/>
      <c r="H72" s="79"/>
      <c r="I72" s="80"/>
      <c r="J72" s="82"/>
      <c r="K72" s="79"/>
      <c r="L72" s="83"/>
      <c r="M72" s="82"/>
      <c r="N72" s="71"/>
      <c r="O72" s="72"/>
      <c r="P72" s="72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ht="15.0" customHeight="1">
      <c r="A73" s="77"/>
      <c r="B73" s="78"/>
      <c r="C73" s="78"/>
      <c r="D73" s="84"/>
      <c r="E73" s="79"/>
      <c r="F73" s="80"/>
      <c r="G73" s="81"/>
      <c r="H73" s="79"/>
      <c r="I73" s="80"/>
      <c r="J73" s="82"/>
      <c r="K73" s="79"/>
      <c r="L73" s="83"/>
      <c r="M73" s="82"/>
      <c r="N73" s="71"/>
      <c r="O73" s="72"/>
      <c r="P73" s="72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ht="15.0" customHeight="1">
      <c r="A74" s="77"/>
      <c r="B74" s="78"/>
      <c r="C74" s="78"/>
      <c r="D74" s="84"/>
      <c r="E74" s="79"/>
      <c r="F74" s="80"/>
      <c r="G74" s="81"/>
      <c r="H74" s="79"/>
      <c r="I74" s="80"/>
      <c r="J74" s="82"/>
      <c r="K74" s="79"/>
      <c r="L74" s="83"/>
      <c r="M74" s="82"/>
      <c r="N74" s="71"/>
      <c r="O74" s="72"/>
      <c r="P74" s="72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ht="15.0" customHeight="1">
      <c r="A75" s="77"/>
      <c r="B75" s="78"/>
      <c r="C75" s="78"/>
      <c r="D75" s="84"/>
      <c r="E75" s="79"/>
      <c r="F75" s="80"/>
      <c r="G75" s="81"/>
      <c r="H75" s="79"/>
      <c r="I75" s="80"/>
      <c r="J75" s="82"/>
      <c r="K75" s="79"/>
      <c r="L75" s="83"/>
      <c r="M75" s="82"/>
      <c r="N75" s="71"/>
      <c r="O75" s="72"/>
      <c r="P75" s="72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ht="15.0" customHeight="1">
      <c r="A76" s="77"/>
      <c r="B76" s="78"/>
      <c r="C76" s="78"/>
      <c r="D76" s="84"/>
      <c r="E76" s="79"/>
      <c r="F76" s="80"/>
      <c r="G76" s="81"/>
      <c r="H76" s="79"/>
      <c r="I76" s="80"/>
      <c r="J76" s="82"/>
      <c r="K76" s="79"/>
      <c r="L76" s="83"/>
      <c r="M76" s="82"/>
      <c r="N76" s="71"/>
      <c r="O76" s="72"/>
      <c r="P76" s="72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ht="15.0" customHeight="1">
      <c r="A77" s="77"/>
      <c r="B77" s="78"/>
      <c r="C77" s="78"/>
      <c r="D77" s="84"/>
      <c r="E77" s="79"/>
      <c r="F77" s="80"/>
      <c r="G77" s="81"/>
      <c r="H77" s="79"/>
      <c r="I77" s="80"/>
      <c r="J77" s="82"/>
      <c r="K77" s="79"/>
      <c r="L77" s="83"/>
      <c r="M77" s="82"/>
      <c r="N77" s="71"/>
      <c r="O77" s="72"/>
      <c r="P77" s="72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ht="15.0" customHeight="1">
      <c r="A78" s="77"/>
      <c r="B78" s="78"/>
      <c r="C78" s="78"/>
      <c r="D78" s="84"/>
      <c r="E78" s="79"/>
      <c r="F78" s="80"/>
      <c r="G78" s="81"/>
      <c r="H78" s="79"/>
      <c r="I78" s="80"/>
      <c r="J78" s="82"/>
      <c r="K78" s="79"/>
      <c r="L78" s="83"/>
      <c r="M78" s="82"/>
      <c r="N78" s="71"/>
      <c r="O78" s="72"/>
      <c r="P78" s="72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ht="15.0" customHeight="1">
      <c r="A79" s="77"/>
      <c r="B79" s="78"/>
      <c r="C79" s="78"/>
      <c r="D79" s="84"/>
      <c r="E79" s="79"/>
      <c r="F79" s="80"/>
      <c r="G79" s="81"/>
      <c r="H79" s="79"/>
      <c r="I79" s="80"/>
      <c r="J79" s="82"/>
      <c r="K79" s="79"/>
      <c r="L79" s="83"/>
      <c r="M79" s="82"/>
      <c r="N79" s="71"/>
      <c r="O79" s="72"/>
      <c r="P79" s="72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ht="15.0" customHeight="1">
      <c r="A80" s="85"/>
      <c r="B80" s="78"/>
      <c r="C80" s="78"/>
      <c r="D80" s="84"/>
      <c r="E80" s="83"/>
      <c r="F80" s="80"/>
      <c r="G80" s="82"/>
      <c r="H80" s="83"/>
      <c r="I80" s="80"/>
      <c r="J80" s="82"/>
      <c r="K80" s="83"/>
      <c r="L80" s="80"/>
      <c r="M80" s="82"/>
      <c r="N80" s="71"/>
      <c r="O80" s="72"/>
      <c r="P80" s="72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ht="15.0" customHeight="1">
      <c r="A81" s="85"/>
      <c r="B81" s="78"/>
      <c r="C81" s="78"/>
      <c r="D81" s="84"/>
      <c r="E81" s="83"/>
      <c r="F81" s="80"/>
      <c r="G81" s="82"/>
      <c r="H81" s="83"/>
      <c r="I81" s="80"/>
      <c r="J81" s="82"/>
      <c r="K81" s="83"/>
      <c r="L81" s="80"/>
      <c r="M81" s="82"/>
      <c r="N81" s="86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5.0" customHeight="1">
      <c r="A82" s="85"/>
      <c r="B82" s="78"/>
      <c r="C82" s="78"/>
      <c r="D82" s="84"/>
      <c r="E82" s="83"/>
      <c r="F82" s="80"/>
      <c r="G82" s="82"/>
      <c r="H82" s="83"/>
      <c r="I82" s="80"/>
      <c r="J82" s="82"/>
      <c r="K82" s="83"/>
      <c r="L82" s="80"/>
      <c r="M82" s="82"/>
      <c r="N82" s="86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5.0" customHeight="1">
      <c r="A83" s="85"/>
      <c r="B83" s="78"/>
      <c r="C83" s="78"/>
      <c r="D83" s="84"/>
      <c r="E83" s="83"/>
      <c r="F83" s="80"/>
      <c r="G83" s="82"/>
      <c r="H83" s="83"/>
      <c r="I83" s="80"/>
      <c r="J83" s="82"/>
      <c r="K83" s="83"/>
      <c r="L83" s="80"/>
      <c r="M83" s="82"/>
      <c r="N83" s="86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5.0" customHeight="1">
      <c r="A84" s="85"/>
      <c r="B84" s="78"/>
      <c r="C84" s="78"/>
      <c r="D84" s="84"/>
      <c r="E84" s="83"/>
      <c r="F84" s="80"/>
      <c r="G84" s="82"/>
      <c r="H84" s="83"/>
      <c r="I84" s="80"/>
      <c r="J84" s="82"/>
      <c r="K84" s="83"/>
      <c r="L84" s="80"/>
      <c r="M84" s="82"/>
      <c r="N84" s="86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5.0" customHeight="1">
      <c r="A85" s="85"/>
      <c r="B85" s="78"/>
      <c r="C85" s="78"/>
      <c r="D85" s="84"/>
      <c r="E85" s="83"/>
      <c r="F85" s="80"/>
      <c r="G85" s="82"/>
      <c r="H85" s="83"/>
      <c r="I85" s="80"/>
      <c r="J85" s="82"/>
      <c r="K85" s="83"/>
      <c r="L85" s="80"/>
      <c r="M85" s="82"/>
      <c r="N85" s="86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5.0" customHeight="1">
      <c r="A86" s="85"/>
      <c r="B86" s="78"/>
      <c r="C86" s="78"/>
      <c r="D86" s="84"/>
      <c r="E86" s="83"/>
      <c r="F86" s="80"/>
      <c r="G86" s="82"/>
      <c r="H86" s="83"/>
      <c r="I86" s="80"/>
      <c r="J86" s="82"/>
      <c r="K86" s="83"/>
      <c r="L86" s="80"/>
      <c r="M86" s="82"/>
      <c r="N86" s="86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5.0" customHeight="1">
      <c r="A87" s="85"/>
      <c r="B87" s="78"/>
      <c r="C87" s="78"/>
      <c r="D87" s="84"/>
      <c r="E87" s="83"/>
      <c r="F87" s="80"/>
      <c r="G87" s="82"/>
      <c r="H87" s="83"/>
      <c r="I87" s="80"/>
      <c r="J87" s="82"/>
      <c r="K87" s="83"/>
      <c r="L87" s="80"/>
      <c r="M87" s="82"/>
      <c r="N87" s="86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5.0" customHeight="1">
      <c r="A88" s="85"/>
      <c r="B88" s="78"/>
      <c r="C88" s="78"/>
      <c r="D88" s="84"/>
      <c r="E88" s="83"/>
      <c r="F88" s="80"/>
      <c r="G88" s="82"/>
      <c r="H88" s="83"/>
      <c r="I88" s="80"/>
      <c r="J88" s="82"/>
      <c r="K88" s="83"/>
      <c r="L88" s="80"/>
      <c r="M88" s="82"/>
      <c r="N88" s="86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5.0" customHeight="1">
      <c r="A89" s="85"/>
      <c r="B89" s="78"/>
      <c r="C89" s="78"/>
      <c r="D89" s="84"/>
      <c r="E89" s="83"/>
      <c r="F89" s="80"/>
      <c r="G89" s="82"/>
      <c r="H89" s="83"/>
      <c r="I89" s="80"/>
      <c r="J89" s="82"/>
      <c r="K89" s="83"/>
      <c r="L89" s="80"/>
      <c r="M89" s="82"/>
      <c r="N89" s="86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5.0" customHeight="1">
      <c r="A90" s="85"/>
      <c r="B90" s="78"/>
      <c r="C90" s="78"/>
      <c r="D90" s="84"/>
      <c r="E90" s="83"/>
      <c r="F90" s="80"/>
      <c r="G90" s="82"/>
      <c r="H90" s="83"/>
      <c r="I90" s="80"/>
      <c r="J90" s="82"/>
      <c r="K90" s="83"/>
      <c r="L90" s="80"/>
      <c r="M90" s="82"/>
      <c r="N90" s="86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5.0" customHeight="1">
      <c r="A91" s="85"/>
      <c r="B91" s="78"/>
      <c r="C91" s="78"/>
      <c r="D91" s="84"/>
      <c r="E91" s="83"/>
      <c r="F91" s="80"/>
      <c r="G91" s="82"/>
      <c r="H91" s="83"/>
      <c r="I91" s="80"/>
      <c r="J91" s="82"/>
      <c r="K91" s="83"/>
      <c r="L91" s="80"/>
      <c r="M91" s="82"/>
      <c r="N91" s="86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5.0" customHeight="1">
      <c r="A92" s="85"/>
      <c r="B92" s="78"/>
      <c r="C92" s="78"/>
      <c r="D92" s="84"/>
      <c r="E92" s="83"/>
      <c r="F92" s="80"/>
      <c r="G92" s="82"/>
      <c r="H92" s="83"/>
      <c r="I92" s="80"/>
      <c r="J92" s="82"/>
      <c r="K92" s="83"/>
      <c r="L92" s="80"/>
      <c r="M92" s="82"/>
      <c r="N92" s="86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5.0" customHeight="1">
      <c r="A93" s="85"/>
      <c r="B93" s="78"/>
      <c r="C93" s="78"/>
      <c r="D93" s="84"/>
      <c r="E93" s="83"/>
      <c r="F93" s="80"/>
      <c r="G93" s="82"/>
      <c r="H93" s="83"/>
      <c r="I93" s="80"/>
      <c r="J93" s="82"/>
      <c r="K93" s="83"/>
      <c r="L93" s="80"/>
      <c r="M93" s="82"/>
      <c r="N93" s="86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5.0" customHeight="1">
      <c r="A94" s="85"/>
      <c r="B94" s="78"/>
      <c r="C94" s="78"/>
      <c r="D94" s="84"/>
      <c r="E94" s="83"/>
      <c r="F94" s="80"/>
      <c r="G94" s="82"/>
      <c r="H94" s="83"/>
      <c r="I94" s="80"/>
      <c r="J94" s="82"/>
      <c r="K94" s="83"/>
      <c r="L94" s="80"/>
      <c r="M94" s="82"/>
      <c r="N94" s="86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5.0" customHeight="1">
      <c r="A95" s="85"/>
      <c r="B95" s="78"/>
      <c r="C95" s="78"/>
      <c r="D95" s="84"/>
      <c r="E95" s="83"/>
      <c r="F95" s="80"/>
      <c r="G95" s="82"/>
      <c r="H95" s="83"/>
      <c r="I95" s="80"/>
      <c r="J95" s="82"/>
      <c r="K95" s="83"/>
      <c r="L95" s="80"/>
      <c r="M95" s="82"/>
      <c r="N95" s="86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5.0" customHeight="1">
      <c r="A96" s="85"/>
      <c r="B96" s="78"/>
      <c r="C96" s="78"/>
      <c r="D96" s="84"/>
      <c r="E96" s="83"/>
      <c r="F96" s="80"/>
      <c r="G96" s="82"/>
      <c r="H96" s="83"/>
      <c r="I96" s="80"/>
      <c r="J96" s="82"/>
      <c r="K96" s="83"/>
      <c r="L96" s="80"/>
      <c r="M96" s="82"/>
      <c r="N96" s="86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5.0" customHeight="1">
      <c r="A97" s="87"/>
      <c r="B97" s="87"/>
      <c r="C97" s="87"/>
      <c r="D97" s="88"/>
      <c r="E97" s="86"/>
      <c r="F97" s="87"/>
      <c r="G97" s="88"/>
      <c r="H97" s="86"/>
      <c r="I97" s="87"/>
      <c r="J97" s="88"/>
      <c r="K97" s="86"/>
      <c r="L97" s="87"/>
      <c r="M97" s="88"/>
      <c r="N97" s="86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5.0" customHeight="1">
      <c r="A98" s="87"/>
      <c r="B98" s="87"/>
      <c r="C98" s="87"/>
      <c r="D98" s="88"/>
      <c r="E98" s="86"/>
      <c r="F98" s="87"/>
      <c r="G98" s="88"/>
      <c r="H98" s="86"/>
      <c r="I98" s="87"/>
      <c r="J98" s="88"/>
      <c r="K98" s="86"/>
      <c r="L98" s="87"/>
      <c r="M98" s="88"/>
      <c r="N98" s="86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5.0" customHeight="1">
      <c r="A99" s="87"/>
      <c r="B99" s="87"/>
      <c r="C99" s="87"/>
      <c r="D99" s="88"/>
      <c r="E99" s="86"/>
      <c r="F99" s="87"/>
      <c r="G99" s="88"/>
      <c r="H99" s="86"/>
      <c r="I99" s="87"/>
      <c r="J99" s="88"/>
      <c r="K99" s="86"/>
      <c r="L99" s="87"/>
      <c r="M99" s="88"/>
      <c r="N99" s="86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5.0" customHeight="1">
      <c r="A100" s="87"/>
      <c r="B100" s="87"/>
      <c r="C100" s="87"/>
      <c r="D100" s="88"/>
      <c r="E100" s="86"/>
      <c r="F100" s="87"/>
      <c r="G100" s="88"/>
      <c r="H100" s="86"/>
      <c r="I100" s="87"/>
      <c r="J100" s="88"/>
      <c r="K100" s="86"/>
      <c r="L100" s="87"/>
      <c r="M100" s="88"/>
      <c r="N100" s="86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5.0" customHeight="1">
      <c r="A101" s="87"/>
      <c r="B101" s="87"/>
      <c r="C101" s="87"/>
      <c r="D101" s="88"/>
      <c r="E101" s="86"/>
      <c r="F101" s="87"/>
      <c r="G101" s="88"/>
      <c r="H101" s="86"/>
      <c r="I101" s="87"/>
      <c r="J101" s="88"/>
      <c r="K101" s="86"/>
      <c r="L101" s="87"/>
      <c r="M101" s="88"/>
      <c r="N101" s="86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5.0" customHeight="1">
      <c r="A102" s="87"/>
      <c r="B102" s="87"/>
      <c r="C102" s="87"/>
      <c r="D102" s="88"/>
      <c r="E102" s="86"/>
      <c r="F102" s="87"/>
      <c r="G102" s="88"/>
      <c r="H102" s="86"/>
      <c r="I102" s="87"/>
      <c r="J102" s="88"/>
      <c r="K102" s="86"/>
      <c r="L102" s="87"/>
      <c r="M102" s="88"/>
      <c r="N102" s="86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5.0" customHeight="1">
      <c r="A103" s="87"/>
      <c r="B103" s="87"/>
      <c r="C103" s="87"/>
      <c r="D103" s="88"/>
      <c r="E103" s="86"/>
      <c r="F103" s="87"/>
      <c r="G103" s="88"/>
      <c r="H103" s="86"/>
      <c r="I103" s="87"/>
      <c r="J103" s="88"/>
      <c r="K103" s="86"/>
      <c r="L103" s="87"/>
      <c r="M103" s="88"/>
      <c r="N103" s="86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5.0" customHeight="1">
      <c r="A104" s="87"/>
      <c r="B104" s="87"/>
      <c r="C104" s="87"/>
      <c r="D104" s="88"/>
      <c r="E104" s="86"/>
      <c r="F104" s="87"/>
      <c r="G104" s="88"/>
      <c r="H104" s="86"/>
      <c r="I104" s="87"/>
      <c r="J104" s="88"/>
      <c r="K104" s="86"/>
      <c r="L104" s="87"/>
      <c r="M104" s="88"/>
      <c r="N104" s="86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5.0" customHeight="1">
      <c r="A105" s="87"/>
      <c r="B105" s="87"/>
      <c r="C105" s="87"/>
      <c r="D105" s="88"/>
      <c r="E105" s="86"/>
      <c r="F105" s="87"/>
      <c r="G105" s="88"/>
      <c r="H105" s="86"/>
      <c r="I105" s="87"/>
      <c r="J105" s="88"/>
      <c r="K105" s="86"/>
      <c r="L105" s="87"/>
      <c r="M105" s="88"/>
      <c r="N105" s="86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5.0" customHeight="1">
      <c r="A106" s="87"/>
      <c r="B106" s="87"/>
      <c r="C106" s="87"/>
      <c r="D106" s="88"/>
      <c r="E106" s="86"/>
      <c r="F106" s="87"/>
      <c r="G106" s="88"/>
      <c r="H106" s="86"/>
      <c r="I106" s="87"/>
      <c r="J106" s="88"/>
      <c r="K106" s="86"/>
      <c r="L106" s="87"/>
      <c r="M106" s="88"/>
      <c r="N106" s="86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5.0" customHeight="1">
      <c r="A107" s="87"/>
      <c r="B107" s="87"/>
      <c r="C107" s="87"/>
      <c r="D107" s="88"/>
      <c r="E107" s="86"/>
      <c r="F107" s="87"/>
      <c r="G107" s="88"/>
      <c r="H107" s="86"/>
      <c r="I107" s="87"/>
      <c r="J107" s="88"/>
      <c r="K107" s="86"/>
      <c r="L107" s="87"/>
      <c r="M107" s="88"/>
      <c r="N107" s="86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5.0" customHeight="1">
      <c r="A108" s="87"/>
      <c r="B108" s="87"/>
      <c r="C108" s="87"/>
      <c r="D108" s="88"/>
      <c r="E108" s="86"/>
      <c r="F108" s="87"/>
      <c r="G108" s="88"/>
      <c r="H108" s="86"/>
      <c r="I108" s="87"/>
      <c r="J108" s="88"/>
      <c r="K108" s="86"/>
      <c r="L108" s="87"/>
      <c r="M108" s="88"/>
      <c r="N108" s="86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5.0" customHeight="1">
      <c r="A109" s="87"/>
      <c r="B109" s="87"/>
      <c r="C109" s="87"/>
      <c r="D109" s="88"/>
      <c r="E109" s="86"/>
      <c r="F109" s="87"/>
      <c r="G109" s="88"/>
      <c r="H109" s="86"/>
      <c r="I109" s="87"/>
      <c r="J109" s="88"/>
      <c r="K109" s="86"/>
      <c r="L109" s="87"/>
      <c r="M109" s="88"/>
      <c r="N109" s="86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5.0" customHeight="1">
      <c r="A110" s="87"/>
      <c r="B110" s="87"/>
      <c r="C110" s="87"/>
      <c r="D110" s="88"/>
      <c r="E110" s="86"/>
      <c r="F110" s="87"/>
      <c r="G110" s="88"/>
      <c r="H110" s="86"/>
      <c r="I110" s="87"/>
      <c r="J110" s="88"/>
      <c r="K110" s="86"/>
      <c r="L110" s="87"/>
      <c r="M110" s="88"/>
      <c r="N110" s="86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5.0" customHeight="1">
      <c r="A111" s="87"/>
      <c r="B111" s="87"/>
      <c r="C111" s="87"/>
      <c r="D111" s="88"/>
      <c r="E111" s="86"/>
      <c r="F111" s="87"/>
      <c r="G111" s="88"/>
      <c r="H111" s="86"/>
      <c r="I111" s="87"/>
      <c r="J111" s="88"/>
      <c r="K111" s="86"/>
      <c r="L111" s="87"/>
      <c r="M111" s="88"/>
      <c r="N111" s="86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5.0" customHeight="1">
      <c r="A112" s="87"/>
      <c r="B112" s="87"/>
      <c r="C112" s="87"/>
      <c r="D112" s="88"/>
      <c r="E112" s="86"/>
      <c r="F112" s="87"/>
      <c r="G112" s="88"/>
      <c r="H112" s="86"/>
      <c r="I112" s="87"/>
      <c r="J112" s="88"/>
      <c r="K112" s="86"/>
      <c r="L112" s="87"/>
      <c r="M112" s="88"/>
      <c r="N112" s="86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5.0" customHeight="1">
      <c r="A113" s="87"/>
      <c r="B113" s="87"/>
      <c r="C113" s="87"/>
      <c r="D113" s="88"/>
      <c r="E113" s="86"/>
      <c r="F113" s="87"/>
      <c r="G113" s="88"/>
      <c r="H113" s="86"/>
      <c r="I113" s="87"/>
      <c r="J113" s="88"/>
      <c r="K113" s="86"/>
      <c r="L113" s="87"/>
      <c r="M113" s="88"/>
      <c r="N113" s="86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5.0" customHeight="1">
      <c r="A114" s="87"/>
      <c r="B114" s="87"/>
      <c r="C114" s="87"/>
      <c r="D114" s="88"/>
      <c r="E114" s="86"/>
      <c r="F114" s="87"/>
      <c r="G114" s="88"/>
      <c r="H114" s="86"/>
      <c r="I114" s="87"/>
      <c r="J114" s="88"/>
      <c r="K114" s="86"/>
      <c r="L114" s="87"/>
      <c r="M114" s="88"/>
      <c r="N114" s="86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5.0" customHeight="1">
      <c r="A115" s="87"/>
      <c r="B115" s="87"/>
      <c r="C115" s="87"/>
      <c r="D115" s="88"/>
      <c r="E115" s="86"/>
      <c r="F115" s="87"/>
      <c r="G115" s="88"/>
      <c r="H115" s="86"/>
      <c r="I115" s="87"/>
      <c r="J115" s="88"/>
      <c r="K115" s="86"/>
      <c r="L115" s="87"/>
      <c r="M115" s="88"/>
      <c r="N115" s="86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5.0" customHeight="1">
      <c r="A116" s="87"/>
      <c r="B116" s="87"/>
      <c r="C116" s="87"/>
      <c r="D116" s="88"/>
      <c r="E116" s="86"/>
      <c r="F116" s="87"/>
      <c r="G116" s="88"/>
      <c r="H116" s="86"/>
      <c r="I116" s="87"/>
      <c r="J116" s="88"/>
      <c r="K116" s="86"/>
      <c r="L116" s="87"/>
      <c r="M116" s="88"/>
      <c r="N116" s="86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5.0" customHeight="1">
      <c r="A117" s="87"/>
      <c r="B117" s="87"/>
      <c r="C117" s="87"/>
      <c r="D117" s="88"/>
      <c r="E117" s="86"/>
      <c r="F117" s="87"/>
      <c r="G117" s="88"/>
      <c r="H117" s="86"/>
      <c r="I117" s="87"/>
      <c r="J117" s="88"/>
      <c r="K117" s="86"/>
      <c r="L117" s="87"/>
      <c r="M117" s="88"/>
      <c r="N117" s="86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5.0" customHeight="1">
      <c r="A118" s="87"/>
      <c r="B118" s="87"/>
      <c r="C118" s="87"/>
      <c r="D118" s="88"/>
      <c r="E118" s="86"/>
      <c r="F118" s="87"/>
      <c r="G118" s="88"/>
      <c r="H118" s="86"/>
      <c r="I118" s="87"/>
      <c r="J118" s="88"/>
      <c r="K118" s="86"/>
      <c r="L118" s="87"/>
      <c r="M118" s="88"/>
      <c r="N118" s="86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5.0" customHeight="1">
      <c r="A119" s="87"/>
      <c r="B119" s="87"/>
      <c r="C119" s="87"/>
      <c r="D119" s="88"/>
      <c r="E119" s="86"/>
      <c r="F119" s="87"/>
      <c r="G119" s="88"/>
      <c r="H119" s="86"/>
      <c r="I119" s="87"/>
      <c r="J119" s="88"/>
      <c r="K119" s="86"/>
      <c r="L119" s="87"/>
      <c r="M119" s="88"/>
      <c r="N119" s="86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5.0" customHeight="1">
      <c r="A120" s="87"/>
      <c r="B120" s="87"/>
      <c r="C120" s="87"/>
      <c r="D120" s="88"/>
      <c r="E120" s="86"/>
      <c r="F120" s="87"/>
      <c r="G120" s="88"/>
      <c r="H120" s="86"/>
      <c r="I120" s="87"/>
      <c r="J120" s="88"/>
      <c r="K120" s="86"/>
      <c r="L120" s="87"/>
      <c r="M120" s="88"/>
      <c r="N120" s="86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5.0" customHeight="1">
      <c r="A121" s="87"/>
      <c r="B121" s="87"/>
      <c r="C121" s="87"/>
      <c r="D121" s="88"/>
      <c r="E121" s="86"/>
      <c r="F121" s="87"/>
      <c r="G121" s="88"/>
      <c r="H121" s="86"/>
      <c r="I121" s="87"/>
      <c r="J121" s="88"/>
      <c r="K121" s="86"/>
      <c r="L121" s="87"/>
      <c r="M121" s="88"/>
      <c r="N121" s="86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6.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6.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6.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6.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6.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6.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6.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6.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6.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6.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6.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6.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6.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6.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6.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6.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6.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6.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6.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6.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6.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6.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6.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6.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6.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6.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6.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6.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6.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6.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6.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6.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6.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6.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6.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6.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6.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6.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6.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6.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6.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6.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6.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6.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6.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6.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6.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6.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6.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6.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6.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6.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6.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6.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6.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6.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6.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6.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6.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6.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6.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6.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6.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6.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6.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6.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6.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6.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6.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6.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6.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6.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6.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6.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6.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6.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6.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6.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6.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6.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6.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6.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6.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6.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6.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6.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6.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6.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6.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6.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6.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6.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6.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6.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6.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6.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6.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6.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6.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6.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6.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6.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6.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6.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6.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6.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6.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6.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6.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6.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6.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6.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6.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6.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6.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6.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6.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6.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6.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6.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6.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6.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6.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6.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6.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6.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6.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6.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6.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6.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6.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6.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6.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6.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6.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6.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6.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6.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6.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6.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6.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6.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6.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6.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6.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6.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6.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6.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6.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6.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6.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6.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6.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6.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6.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6.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6.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6.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6.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6.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6.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6.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6.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6.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6.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6.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6.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6.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6.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6.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6.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6.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6.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6.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6.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6.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6.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6.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6.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6.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6.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6.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16.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16.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16.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16.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16.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16.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16.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16.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16.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16.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16.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16.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16.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16.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16.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16.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16.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16.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16.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16.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16.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16.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16.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16.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16.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16.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16.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16.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16.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16.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16.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16.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16.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16.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16.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16.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16.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16.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16.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16.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16.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16.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16.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16.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16.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16.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16.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16.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16.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16.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16.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16.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16.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16.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16.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16.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16.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16.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16.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16.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16.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16.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16.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16.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16.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16.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16.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16.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16.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16.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16.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16.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16.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16.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16.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16.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16.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16.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16.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16.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16.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16.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16.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16.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16.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16.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16.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16.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16.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16.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16.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16.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16.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16.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16.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16.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16.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16.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16.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16.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16.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16.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16.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16.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16.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16.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16.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16.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16.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16.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16.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16.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16.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16.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16.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16.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16.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16.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16.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16.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16.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16.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16.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16.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16.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16.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16.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16.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16.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16.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16.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16.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16.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16.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16.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16.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16.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16.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16.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16.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16.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16.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16.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16.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16.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16.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16.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16.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16.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16.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16.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16.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16.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16.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16.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16.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16.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16.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16.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16.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16.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16.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16.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16.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16.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16.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16.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16.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16.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16.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16.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16.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16.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16.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16.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16.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16.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16.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16.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16.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ht="16.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ht="16.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ht="16.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ht="16.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ht="16.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ht="16.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ht="16.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ht="16.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ht="16.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ht="16.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ht="16.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ht="16.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ht="16.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ht="16.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ht="16.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ht="16.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ht="16.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ht="16.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ht="16.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ht="16.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ht="16.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ht="16.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ht="16.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ht="16.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ht="16.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ht="16.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ht="16.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ht="16.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ht="16.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ht="16.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ht="16.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ht="16.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ht="16.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ht="16.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ht="16.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ht="16.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ht="16.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ht="16.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ht="16.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ht="16.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ht="16.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ht="16.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ht="16.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ht="16.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ht="16.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6.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ht="16.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ht="16.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ht="16.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ht="16.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ht="16.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ht="16.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ht="16.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ht="16.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ht="16.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ht="16.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ht="16.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ht="16.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ht="16.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ht="16.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ht="16.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ht="16.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ht="16.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ht="16.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ht="16.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ht="16.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ht="16.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ht="16.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ht="16.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ht="16.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ht="16.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ht="16.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ht="16.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ht="16.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ht="16.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ht="16.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ht="16.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ht="16.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ht="16.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ht="16.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ht="16.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ht="16.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ht="16.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ht="16.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ht="16.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ht="16.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ht="16.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ht="16.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ht="16.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ht="16.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ht="16.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ht="16.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ht="16.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ht="16.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ht="16.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ht="16.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ht="16.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ht="16.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ht="16.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ht="16.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ht="16.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ht="16.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ht="16.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ht="16.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ht="16.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ht="16.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ht="16.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ht="16.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ht="16.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ht="16.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ht="16.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ht="16.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ht="16.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ht="16.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ht="16.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ht="16.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ht="16.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ht="16.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ht="16.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ht="16.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ht="16.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ht="16.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ht="16.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ht="16.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ht="16.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ht="16.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ht="16.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ht="16.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ht="16.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ht="16.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ht="16.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ht="16.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ht="16.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ht="16.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ht="16.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ht="16.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ht="16.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ht="16.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ht="16.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ht="16.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ht="16.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ht="16.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ht="16.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ht="16.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ht="16.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ht="16.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ht="16.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ht="16.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ht="16.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ht="16.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ht="16.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ht="16.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ht="16.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ht="16.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ht="16.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ht="16.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ht="16.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ht="16.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ht="16.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ht="16.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ht="16.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ht="16.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ht="16.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ht="16.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ht="16.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ht="16.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ht="16.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ht="16.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ht="16.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ht="16.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ht="16.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ht="16.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ht="16.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ht="16.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ht="16.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ht="16.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ht="16.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ht="16.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ht="16.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ht="16.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ht="16.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ht="16.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ht="16.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ht="16.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ht="16.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ht="16.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ht="16.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ht="16.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ht="16.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ht="16.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ht="16.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ht="16.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ht="16.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ht="16.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ht="16.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ht="16.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ht="16.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ht="16.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ht="16.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ht="16.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ht="16.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ht="16.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ht="16.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ht="16.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ht="16.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ht="16.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ht="16.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ht="16.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ht="16.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ht="16.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ht="16.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ht="16.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ht="16.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ht="16.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ht="16.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ht="16.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ht="16.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ht="16.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ht="16.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ht="16.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ht="16.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ht="16.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ht="16.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ht="16.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ht="16.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ht="16.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ht="16.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ht="16.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ht="16.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ht="16.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ht="16.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ht="16.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ht="16.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ht="16.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ht="16.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ht="16.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ht="16.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ht="16.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ht="16.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ht="16.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ht="16.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ht="16.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ht="16.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ht="16.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ht="16.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ht="16.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ht="16.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ht="16.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ht="16.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ht="16.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ht="16.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ht="16.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ht="16.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ht="16.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ht="16.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ht="16.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ht="16.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ht="16.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ht="16.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ht="16.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ht="16.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ht="16.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ht="16.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ht="16.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ht="16.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ht="16.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ht="16.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ht="16.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ht="16.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ht="16.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ht="16.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ht="16.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ht="16.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ht="16.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ht="16.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ht="16.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ht="16.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ht="16.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ht="16.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ht="16.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ht="16.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ht="16.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ht="16.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ht="16.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ht="16.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ht="16.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ht="16.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ht="16.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ht="16.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ht="16.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ht="16.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ht="16.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ht="16.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ht="16.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ht="16.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ht="16.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ht="16.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ht="16.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ht="16.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ht="16.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ht="16.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ht="16.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ht="16.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ht="16.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ht="16.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ht="16.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ht="16.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ht="16.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ht="16.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ht="16.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ht="16.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ht="16.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ht="16.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ht="16.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ht="16.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ht="16.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ht="16.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ht="16.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ht="16.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ht="16.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ht="16.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ht="16.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ht="16.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ht="16.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ht="16.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ht="16.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ht="16.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ht="16.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ht="16.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ht="16.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ht="16.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ht="16.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ht="16.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ht="16.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ht="16.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ht="16.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ht="16.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ht="16.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ht="16.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ht="16.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ht="16.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ht="16.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ht="16.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ht="16.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ht="16.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ht="16.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ht="16.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ht="16.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ht="16.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ht="16.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ht="16.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ht="16.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ht="16.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ht="16.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ht="16.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ht="16.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ht="16.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ht="16.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ht="16.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ht="16.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ht="16.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ht="16.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ht="16.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ht="16.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ht="16.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ht="16.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ht="16.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ht="16.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ht="16.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ht="16.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ht="16.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ht="16.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ht="16.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ht="16.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ht="16.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ht="16.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ht="16.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ht="16.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ht="16.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ht="16.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ht="16.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ht="16.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ht="16.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ht="16.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ht="16.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ht="16.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ht="16.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ht="16.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ht="16.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ht="16.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ht="16.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ht="16.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ht="16.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ht="16.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ht="16.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ht="16.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ht="16.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ht="16.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ht="16.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ht="16.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ht="16.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ht="16.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ht="16.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ht="16.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ht="16.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ht="16.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ht="16.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ht="16.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ht="16.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ht="16.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ht="16.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ht="16.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ht="16.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ht="16.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ht="16.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ht="16.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ht="16.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ht="16.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ht="16.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ht="16.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ht="16.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ht="16.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ht="16.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ht="16.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ht="16.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ht="16.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ht="16.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ht="16.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ht="16.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ht="16.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ht="16.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ht="16.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ht="16.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ht="16.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ht="16.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ht="16.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ht="16.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ht="16.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ht="16.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ht="16.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ht="16.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ht="16.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ht="16.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ht="16.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ht="16.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ht="16.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ht="16.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ht="16.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ht="16.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ht="16.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ht="16.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ht="16.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ht="16.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ht="16.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ht="16.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ht="16.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ht="16.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ht="16.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ht="16.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ht="16.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ht="16.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ht="16.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ht="16.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ht="16.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ht="16.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ht="16.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ht="16.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ht="16.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ht="16.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ht="16.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ht="16.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ht="16.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ht="16.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ht="16.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ht="16.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ht="16.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ht="16.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ht="16.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ht="16.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ht="16.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ht="16.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ht="16.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ht="16.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ht="16.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ht="16.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ht="16.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ht="16.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ht="16.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ht="16.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ht="16.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ht="16.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ht="16.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ht="16.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ht="16.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ht="16.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ht="16.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ht="16.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ht="16.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ht="16.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ht="16.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ht="16.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ht="16.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ht="16.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ht="16.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ht="16.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ht="16.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ht="16.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ht="16.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ht="16.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ht="16.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ht="16.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ht="16.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ht="16.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ht="16.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ht="16.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ht="16.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ht="16.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mergeCells count="7">
    <mergeCell ref="A1:N1"/>
    <mergeCell ref="A17:A19"/>
    <mergeCell ref="B17:D17"/>
    <mergeCell ref="E17:G17"/>
    <mergeCell ref="H17:J17"/>
    <mergeCell ref="K17:M17"/>
    <mergeCell ref="N17:N19"/>
  </mergeCells>
  <printOptions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13" width="5.29"/>
    <col customWidth="1" min="14" max="14" width="3.71"/>
    <col customWidth="1" min="15" max="16" width="0.86"/>
    <col customWidth="1" min="17" max="26" width="8.86"/>
  </cols>
  <sheetData>
    <row r="1" ht="19.5" customHeight="1">
      <c r="A1" s="15" t="s">
        <v>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  <c r="O1" s="18"/>
      <c r="P1" s="18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4.5" customHeight="1">
      <c r="A2" s="20"/>
      <c r="B2" s="21"/>
      <c r="C2" s="22"/>
      <c r="D2" s="22"/>
      <c r="E2" s="22"/>
      <c r="F2" s="23"/>
      <c r="G2" s="22"/>
      <c r="H2" s="21"/>
      <c r="I2" s="22"/>
      <c r="J2" s="22"/>
      <c r="K2" s="22"/>
      <c r="L2" s="23"/>
      <c r="M2" s="22"/>
      <c r="N2" s="24"/>
      <c r="O2" s="22"/>
      <c r="P2" s="22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5.0" customHeight="1">
      <c r="A3" s="25" t="str">
        <f>'S1-1,3 STRUT (3) 배면 좌'!A3</f>
        <v>현  장  명 : 용산구 한남동 383일대 근린생활시설 신축공사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7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15.0" customHeight="1">
      <c r="A4" s="25" t="s">
        <v>42</v>
      </c>
      <c r="B4" s="26"/>
      <c r="C4" s="26"/>
      <c r="D4" s="26"/>
      <c r="E4" s="26"/>
      <c r="F4" s="29"/>
      <c r="G4" s="26"/>
      <c r="H4" s="26"/>
      <c r="I4" s="26"/>
      <c r="J4" s="26"/>
      <c r="K4" s="26"/>
      <c r="L4" s="29"/>
      <c r="M4" s="26"/>
      <c r="N4" s="30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16.5" customHeight="1">
      <c r="A5" s="31"/>
      <c r="B5" s="32"/>
      <c r="C5" s="32"/>
      <c r="D5" s="32"/>
      <c r="E5" s="32"/>
      <c r="F5" s="33"/>
      <c r="G5" s="32"/>
      <c r="H5" s="32"/>
      <c r="I5" s="32"/>
      <c r="J5" s="32"/>
      <c r="K5" s="32"/>
      <c r="L5" s="33"/>
      <c r="M5" s="32"/>
      <c r="N5" s="34"/>
      <c r="O5" s="19"/>
      <c r="P5" s="19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6.5" customHeight="1">
      <c r="A6" s="35"/>
      <c r="B6" s="36"/>
      <c r="C6" s="36"/>
      <c r="D6" s="36"/>
      <c r="E6" s="36"/>
      <c r="F6" s="19"/>
      <c r="G6" s="36"/>
      <c r="H6" s="36"/>
      <c r="I6" s="36"/>
      <c r="J6" s="36"/>
      <c r="K6" s="36"/>
      <c r="L6" s="19"/>
      <c r="M6" s="36"/>
      <c r="N6" s="37"/>
      <c r="O6" s="19"/>
      <c r="P6" s="19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6.5" customHeight="1">
      <c r="A7" s="35"/>
      <c r="B7" s="36"/>
      <c r="C7" s="36"/>
      <c r="D7" s="36"/>
      <c r="E7" s="36"/>
      <c r="F7" s="19"/>
      <c r="G7" s="36"/>
      <c r="H7" s="36"/>
      <c r="I7" s="36"/>
      <c r="J7" s="36"/>
      <c r="K7" s="36"/>
      <c r="L7" s="19"/>
      <c r="M7" s="36"/>
      <c r="N7" s="37"/>
      <c r="O7" s="19"/>
      <c r="P7" s="19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16.5" customHeight="1">
      <c r="A8" s="35"/>
      <c r="B8" s="36"/>
      <c r="C8" s="36"/>
      <c r="D8" s="36"/>
      <c r="E8" s="36"/>
      <c r="F8" s="19"/>
      <c r="G8" s="36"/>
      <c r="H8" s="36"/>
      <c r="I8" s="36"/>
      <c r="J8" s="36"/>
      <c r="K8" s="36"/>
      <c r="L8" s="19"/>
      <c r="M8" s="36"/>
      <c r="N8" s="37"/>
      <c r="O8" s="19"/>
      <c r="P8" s="19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6.5" customHeight="1">
      <c r="A9" s="35"/>
      <c r="B9" s="36"/>
      <c r="C9" s="36"/>
      <c r="D9" s="36"/>
      <c r="E9" s="36"/>
      <c r="F9" s="19"/>
      <c r="G9" s="36"/>
      <c r="H9" s="36"/>
      <c r="I9" s="36"/>
      <c r="J9" s="36"/>
      <c r="K9" s="36"/>
      <c r="L9" s="19"/>
      <c r="M9" s="36"/>
      <c r="N9" s="37"/>
      <c r="O9" s="19"/>
      <c r="P9" s="19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6.5" customHeight="1">
      <c r="A10" s="35"/>
      <c r="B10" s="36"/>
      <c r="C10" s="36"/>
      <c r="D10" s="36"/>
      <c r="E10" s="36"/>
      <c r="F10" s="19"/>
      <c r="G10" s="36"/>
      <c r="H10" s="36"/>
      <c r="I10" s="36"/>
      <c r="J10" s="36"/>
      <c r="K10" s="36"/>
      <c r="L10" s="19"/>
      <c r="M10" s="36"/>
      <c r="N10" s="37"/>
      <c r="O10" s="19"/>
      <c r="P10" s="19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6.5" customHeight="1">
      <c r="A11" s="35"/>
      <c r="B11" s="36"/>
      <c r="C11" s="36"/>
      <c r="D11" s="36"/>
      <c r="E11" s="36"/>
      <c r="F11" s="19"/>
      <c r="G11" s="36"/>
      <c r="H11" s="36"/>
      <c r="I11" s="36"/>
      <c r="J11" s="36"/>
      <c r="K11" s="36"/>
      <c r="L11" s="19"/>
      <c r="M11" s="36"/>
      <c r="N11" s="37"/>
      <c r="O11" s="19"/>
      <c r="P11" s="19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6.5" customHeight="1">
      <c r="A12" s="35"/>
      <c r="B12" s="36"/>
      <c r="C12" s="36"/>
      <c r="D12" s="36"/>
      <c r="E12" s="36"/>
      <c r="F12" s="19"/>
      <c r="G12" s="36"/>
      <c r="H12" s="36"/>
      <c r="I12" s="36"/>
      <c r="J12" s="36"/>
      <c r="K12" s="36"/>
      <c r="L12" s="19"/>
      <c r="M12" s="36"/>
      <c r="N12" s="37"/>
      <c r="O12" s="19"/>
      <c r="P12" s="19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6.5" customHeight="1">
      <c r="A13" s="35"/>
      <c r="B13" s="36"/>
      <c r="C13" s="36"/>
      <c r="D13" s="36"/>
      <c r="E13" s="36"/>
      <c r="F13" s="19"/>
      <c r="G13" s="36"/>
      <c r="H13" s="36"/>
      <c r="I13" s="36"/>
      <c r="J13" s="36"/>
      <c r="K13" s="36"/>
      <c r="L13" s="19"/>
      <c r="M13" s="36"/>
      <c r="N13" s="37"/>
      <c r="O13" s="19"/>
      <c r="P13" s="19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6.5" customHeight="1">
      <c r="A14" s="35"/>
      <c r="B14" s="36"/>
      <c r="C14" s="36"/>
      <c r="D14" s="36"/>
      <c r="E14" s="36"/>
      <c r="F14" s="19"/>
      <c r="G14" s="36"/>
      <c r="H14" s="36"/>
      <c r="I14" s="36"/>
      <c r="J14" s="36"/>
      <c r="K14" s="36"/>
      <c r="L14" s="19"/>
      <c r="M14" s="36"/>
      <c r="N14" s="37"/>
      <c r="O14" s="19"/>
      <c r="P14" s="19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6.5" customHeight="1">
      <c r="A15" s="35"/>
      <c r="B15" s="36"/>
      <c r="C15" s="36"/>
      <c r="D15" s="36"/>
      <c r="E15" s="36"/>
      <c r="F15" s="19"/>
      <c r="G15" s="36"/>
      <c r="H15" s="36"/>
      <c r="I15" s="36"/>
      <c r="J15" s="36"/>
      <c r="K15" s="36"/>
      <c r="L15" s="19"/>
      <c r="M15" s="36"/>
      <c r="N15" s="37"/>
      <c r="O15" s="19"/>
      <c r="P15" s="19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6.5" customHeight="1">
      <c r="A16" s="38"/>
      <c r="B16" s="39"/>
      <c r="C16" s="39"/>
      <c r="D16" s="39"/>
      <c r="E16" s="39"/>
      <c r="F16" s="40"/>
      <c r="G16" s="39"/>
      <c r="H16" s="39"/>
      <c r="I16" s="39"/>
      <c r="J16" s="39"/>
      <c r="K16" s="39"/>
      <c r="L16" s="40"/>
      <c r="M16" s="39"/>
      <c r="N16" s="41"/>
      <c r="O16" s="19"/>
      <c r="P16" s="19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5.0" customHeight="1">
      <c r="A17" s="42" t="s">
        <v>7</v>
      </c>
      <c r="B17" s="43" t="s">
        <v>43</v>
      </c>
      <c r="C17" s="44"/>
      <c r="D17" s="45"/>
      <c r="E17" s="46" t="s">
        <v>9</v>
      </c>
      <c r="F17" s="44"/>
      <c r="G17" s="45"/>
      <c r="H17" s="46" t="s">
        <v>10</v>
      </c>
      <c r="I17" s="44"/>
      <c r="J17" s="45"/>
      <c r="K17" s="46" t="s">
        <v>11</v>
      </c>
      <c r="L17" s="44"/>
      <c r="M17" s="45"/>
      <c r="N17" s="47" t="s">
        <v>12</v>
      </c>
      <c r="O17" s="48"/>
      <c r="P17" s="4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5.0" customHeight="1">
      <c r="A18" s="49"/>
      <c r="B18" s="50" t="s">
        <v>13</v>
      </c>
      <c r="C18" s="50" t="s">
        <v>14</v>
      </c>
      <c r="D18" s="52" t="s">
        <v>15</v>
      </c>
      <c r="E18" s="50" t="s">
        <v>13</v>
      </c>
      <c r="F18" s="50" t="s">
        <v>14</v>
      </c>
      <c r="G18" s="52" t="s">
        <v>15</v>
      </c>
      <c r="H18" s="50" t="s">
        <v>13</v>
      </c>
      <c r="I18" s="50" t="s">
        <v>14</v>
      </c>
      <c r="J18" s="52" t="s">
        <v>15</v>
      </c>
      <c r="K18" s="50" t="s">
        <v>13</v>
      </c>
      <c r="L18" s="50" t="s">
        <v>14</v>
      </c>
      <c r="M18" s="52" t="s">
        <v>15</v>
      </c>
      <c r="N18" s="53"/>
      <c r="O18" s="48"/>
      <c r="P18" s="4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5.0" customHeight="1">
      <c r="A19" s="54"/>
      <c r="B19" s="55" t="s">
        <v>44</v>
      </c>
      <c r="C19" s="55" t="s">
        <v>45</v>
      </c>
      <c r="D19" s="58" t="s">
        <v>46</v>
      </c>
      <c r="E19" s="55" t="s">
        <v>44</v>
      </c>
      <c r="F19" s="55" t="s">
        <v>45</v>
      </c>
      <c r="G19" s="58" t="s">
        <v>46</v>
      </c>
      <c r="H19" s="55" t="s">
        <v>44</v>
      </c>
      <c r="I19" s="55" t="s">
        <v>45</v>
      </c>
      <c r="J19" s="58" t="s">
        <v>46</v>
      </c>
      <c r="K19" s="55" t="s">
        <v>44</v>
      </c>
      <c r="L19" s="55" t="s">
        <v>45</v>
      </c>
      <c r="M19" s="58" t="s">
        <v>46</v>
      </c>
      <c r="N19" s="59"/>
      <c r="O19" s="60"/>
      <c r="P19" s="60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5.0" customHeight="1">
      <c r="A20" s="61">
        <v>45930.0</v>
      </c>
      <c r="B20" s="62">
        <v>3006.0</v>
      </c>
      <c r="C20" s="62">
        <v>2934.0</v>
      </c>
      <c r="D20" s="63"/>
      <c r="E20" s="64">
        <f t="shared" ref="E20:E27" si="3">(B20-$B$20)*2.1</f>
        <v>0</v>
      </c>
      <c r="F20" s="74">
        <f t="shared" ref="F20:F27" si="4">(C20-$C$20)*2.1</f>
        <v>0</v>
      </c>
      <c r="G20" s="66"/>
      <c r="H20" s="64">
        <f t="shared" ref="H20:I20" si="1">E20*0.0980665</f>
        <v>0</v>
      </c>
      <c r="I20" s="74">
        <f t="shared" si="1"/>
        <v>0</v>
      </c>
      <c r="J20" s="67"/>
      <c r="K20" s="64">
        <f t="shared" ref="K20:L20" si="2">(E20*119.8)/1000</f>
        <v>0</v>
      </c>
      <c r="L20" s="65">
        <f t="shared" si="2"/>
        <v>0</v>
      </c>
      <c r="M20" s="67"/>
      <c r="N20" s="68"/>
      <c r="O20" s="69"/>
      <c r="P20" s="69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 ht="15.0" customHeight="1">
      <c r="A21" s="61">
        <v>45932.0</v>
      </c>
      <c r="B21" s="62">
        <v>3010.0</v>
      </c>
      <c r="C21" s="62">
        <v>2940.0</v>
      </c>
      <c r="D21" s="63"/>
      <c r="E21" s="64">
        <f t="shared" si="3"/>
        <v>8.4</v>
      </c>
      <c r="F21" s="74">
        <f t="shared" si="4"/>
        <v>12.6</v>
      </c>
      <c r="G21" s="66"/>
      <c r="H21" s="64">
        <f t="shared" ref="H21:I21" si="5">E21*0.0980665</f>
        <v>0.8237586</v>
      </c>
      <c r="I21" s="74">
        <f t="shared" si="5"/>
        <v>1.2356379</v>
      </c>
      <c r="J21" s="67"/>
      <c r="K21" s="64">
        <f t="shared" ref="K21:L21" si="6">(E21*119.8)/1000</f>
        <v>1.00632</v>
      </c>
      <c r="L21" s="65">
        <f t="shared" si="6"/>
        <v>1.50948</v>
      </c>
      <c r="M21" s="67"/>
      <c r="N21" s="68"/>
      <c r="O21" s="69"/>
      <c r="P21" s="69"/>
      <c r="Q21" s="70" t="s">
        <v>33</v>
      </c>
      <c r="R21" s="70"/>
      <c r="S21" s="70"/>
      <c r="T21" s="70"/>
      <c r="U21" s="70"/>
      <c r="V21" s="70"/>
      <c r="W21" s="70"/>
      <c r="X21" s="70"/>
      <c r="Y21" s="70"/>
      <c r="Z21" s="70"/>
    </row>
    <row r="22" ht="15.0" customHeight="1">
      <c r="A22" s="61">
        <v>45944.0</v>
      </c>
      <c r="B22" s="62">
        <v>3013.0</v>
      </c>
      <c r="C22" s="62">
        <v>2942.0</v>
      </c>
      <c r="D22" s="63"/>
      <c r="E22" s="64">
        <f t="shared" si="3"/>
        <v>14.7</v>
      </c>
      <c r="F22" s="74">
        <f t="shared" si="4"/>
        <v>16.8</v>
      </c>
      <c r="G22" s="66"/>
      <c r="H22" s="64">
        <f t="shared" ref="H22:I22" si="7">E22*0.0980665</f>
        <v>1.44157755</v>
      </c>
      <c r="I22" s="74">
        <f t="shared" si="7"/>
        <v>1.6475172</v>
      </c>
      <c r="J22" s="67"/>
      <c r="K22" s="64">
        <f t="shared" ref="K22:L22" si="8">(E22*119.8)/1000</f>
        <v>1.76106</v>
      </c>
      <c r="L22" s="65">
        <f t="shared" si="8"/>
        <v>2.01264</v>
      </c>
      <c r="M22" s="67"/>
      <c r="N22" s="68"/>
      <c r="O22" s="69"/>
      <c r="P22" s="69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 ht="15.0" customHeight="1">
      <c r="A23" s="61">
        <v>45946.0</v>
      </c>
      <c r="B23" s="62">
        <v>3016.0</v>
      </c>
      <c r="C23" s="62">
        <v>2944.0</v>
      </c>
      <c r="D23" s="63"/>
      <c r="E23" s="64">
        <f t="shared" si="3"/>
        <v>21</v>
      </c>
      <c r="F23" s="74">
        <f t="shared" si="4"/>
        <v>21</v>
      </c>
      <c r="G23" s="66"/>
      <c r="H23" s="64">
        <f t="shared" ref="H23:I23" si="9">E23*0.0980665</f>
        <v>2.0593965</v>
      </c>
      <c r="I23" s="74">
        <f t="shared" si="9"/>
        <v>2.0593965</v>
      </c>
      <c r="J23" s="67"/>
      <c r="K23" s="64">
        <f t="shared" ref="K23:L23" si="10">(E23*119.8)/1000</f>
        <v>2.5158</v>
      </c>
      <c r="L23" s="65">
        <f t="shared" si="10"/>
        <v>2.5158</v>
      </c>
      <c r="M23" s="67"/>
      <c r="N23" s="68"/>
      <c r="O23" s="69"/>
      <c r="P23" s="69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 ht="15.0" customHeight="1">
      <c r="A24" s="61">
        <v>45953.0</v>
      </c>
      <c r="B24" s="62">
        <v>3015.0</v>
      </c>
      <c r="C24" s="62">
        <v>2943.0</v>
      </c>
      <c r="D24" s="63">
        <v>2548.0</v>
      </c>
      <c r="E24" s="64">
        <f t="shared" si="3"/>
        <v>18.9</v>
      </c>
      <c r="F24" s="74">
        <f t="shared" si="4"/>
        <v>18.9</v>
      </c>
      <c r="G24" s="66">
        <f t="shared" ref="G24:G27" si="13">(D24-$D$24)*2.1</f>
        <v>0</v>
      </c>
      <c r="H24" s="64">
        <f t="shared" ref="H24:J24" si="11">E24*0.0980665</f>
        <v>1.85345685</v>
      </c>
      <c r="I24" s="74">
        <f t="shared" si="11"/>
        <v>1.85345685</v>
      </c>
      <c r="J24" s="67">
        <f t="shared" si="11"/>
        <v>0</v>
      </c>
      <c r="K24" s="64">
        <f t="shared" ref="K24:M24" si="12">(E24*119.8)/1000</f>
        <v>2.26422</v>
      </c>
      <c r="L24" s="65">
        <f t="shared" si="12"/>
        <v>2.26422</v>
      </c>
      <c r="M24" s="67">
        <f t="shared" si="12"/>
        <v>0</v>
      </c>
      <c r="N24" s="68"/>
      <c r="O24" s="69"/>
      <c r="P24" s="69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 ht="15.0" customHeight="1">
      <c r="A25" s="61">
        <v>45959.0</v>
      </c>
      <c r="B25" s="62">
        <v>3014.0</v>
      </c>
      <c r="C25" s="62">
        <v>2930.0</v>
      </c>
      <c r="D25" s="63">
        <v>2542.0</v>
      </c>
      <c r="E25" s="64">
        <f t="shared" si="3"/>
        <v>16.8</v>
      </c>
      <c r="F25" s="74">
        <f t="shared" si="4"/>
        <v>-8.4</v>
      </c>
      <c r="G25" s="66">
        <f t="shared" si="13"/>
        <v>-12.6</v>
      </c>
      <c r="H25" s="64">
        <f t="shared" ref="H25:J25" si="14">E25*0.0980665</f>
        <v>1.6475172</v>
      </c>
      <c r="I25" s="74">
        <f t="shared" si="14"/>
        <v>-0.8237586</v>
      </c>
      <c r="J25" s="67">
        <f t="shared" si="14"/>
        <v>-1.2356379</v>
      </c>
      <c r="K25" s="64">
        <f t="shared" ref="K25:M25" si="15">(E25*119.8)/1000</f>
        <v>2.01264</v>
      </c>
      <c r="L25" s="65">
        <f t="shared" si="15"/>
        <v>-1.00632</v>
      </c>
      <c r="M25" s="67">
        <f t="shared" si="15"/>
        <v>-1.50948</v>
      </c>
      <c r="N25" s="71"/>
      <c r="O25" s="72"/>
      <c r="P25" s="72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 ht="15.0" customHeight="1">
      <c r="A26" s="61">
        <v>45966.0</v>
      </c>
      <c r="B26" s="62">
        <v>3004.0</v>
      </c>
      <c r="C26" s="62">
        <v>2921.0</v>
      </c>
      <c r="D26" s="62">
        <v>2547.0</v>
      </c>
      <c r="E26" s="64">
        <f t="shared" si="3"/>
        <v>-4.2</v>
      </c>
      <c r="F26" s="74">
        <f t="shared" si="4"/>
        <v>-27.3</v>
      </c>
      <c r="G26" s="66">
        <f t="shared" si="13"/>
        <v>-2.1</v>
      </c>
      <c r="H26" s="64">
        <f t="shared" ref="H26:J26" si="16">E26*0.0980665</f>
        <v>-0.4118793</v>
      </c>
      <c r="I26" s="74">
        <f t="shared" si="16"/>
        <v>-2.67721545</v>
      </c>
      <c r="J26" s="67">
        <f t="shared" si="16"/>
        <v>-0.20593965</v>
      </c>
      <c r="K26" s="64">
        <f t="shared" ref="K26:M26" si="17">(E26*119.8)/1000</f>
        <v>-0.50316</v>
      </c>
      <c r="L26" s="65">
        <f t="shared" si="17"/>
        <v>-3.27054</v>
      </c>
      <c r="M26" s="67">
        <f t="shared" si="17"/>
        <v>-0.25158</v>
      </c>
      <c r="N26" s="71"/>
      <c r="O26" s="72"/>
      <c r="P26" s="72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ht="15.0" customHeight="1">
      <c r="A27" s="61">
        <v>45971.0</v>
      </c>
      <c r="B27" s="62">
        <v>3000.0</v>
      </c>
      <c r="C27" s="62">
        <v>2915.0</v>
      </c>
      <c r="D27" s="62">
        <v>2540.0</v>
      </c>
      <c r="E27" s="64">
        <f t="shared" si="3"/>
        <v>-12.6</v>
      </c>
      <c r="F27" s="74">
        <f t="shared" si="4"/>
        <v>-39.9</v>
      </c>
      <c r="G27" s="66">
        <f t="shared" si="13"/>
        <v>-16.8</v>
      </c>
      <c r="H27" s="64">
        <f t="shared" ref="H27:J27" si="18">E27*0.0980665</f>
        <v>-1.2356379</v>
      </c>
      <c r="I27" s="74">
        <f t="shared" si="18"/>
        <v>-3.91285335</v>
      </c>
      <c r="J27" s="67">
        <f t="shared" si="18"/>
        <v>-1.6475172</v>
      </c>
      <c r="K27" s="64">
        <f t="shared" ref="K27:M27" si="19">(E27*119.8)/1000</f>
        <v>-1.50948</v>
      </c>
      <c r="L27" s="65">
        <f t="shared" si="19"/>
        <v>-4.78002</v>
      </c>
      <c r="M27" s="67">
        <f t="shared" si="19"/>
        <v>-2.01264</v>
      </c>
      <c r="N27" s="71"/>
      <c r="O27" s="72"/>
      <c r="P27" s="72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ht="15.0" customHeight="1">
      <c r="A28" s="61"/>
      <c r="B28" s="62"/>
      <c r="C28" s="62"/>
      <c r="D28" s="63"/>
      <c r="E28" s="64"/>
      <c r="F28" s="74"/>
      <c r="G28" s="66"/>
      <c r="H28" s="64"/>
      <c r="I28" s="65"/>
      <c r="J28" s="67"/>
      <c r="K28" s="64"/>
      <c r="L28" s="65"/>
      <c r="M28" s="67"/>
      <c r="N28" s="71"/>
      <c r="O28" s="72"/>
      <c r="P28" s="72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 ht="15.0" customHeight="1">
      <c r="A29" s="61"/>
      <c r="B29" s="62"/>
      <c r="C29" s="62"/>
      <c r="D29" s="63"/>
      <c r="E29" s="64"/>
      <c r="F29" s="74"/>
      <c r="G29" s="66"/>
      <c r="H29" s="64"/>
      <c r="I29" s="65"/>
      <c r="J29" s="67"/>
      <c r="K29" s="64"/>
      <c r="L29" s="65"/>
      <c r="M29" s="67"/>
      <c r="N29" s="76"/>
      <c r="O29" s="72"/>
      <c r="P29" s="72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 ht="15.0" customHeight="1">
      <c r="A30" s="61"/>
      <c r="B30" s="62"/>
      <c r="C30" s="62"/>
      <c r="D30" s="63"/>
      <c r="E30" s="64"/>
      <c r="F30" s="74"/>
      <c r="G30" s="66"/>
      <c r="H30" s="64"/>
      <c r="I30" s="65"/>
      <c r="J30" s="67"/>
      <c r="K30" s="64"/>
      <c r="L30" s="65"/>
      <c r="M30" s="67"/>
      <c r="N30" s="71"/>
      <c r="O30" s="72"/>
      <c r="P30" s="72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 ht="15.0" customHeight="1">
      <c r="A31" s="61"/>
      <c r="B31" s="62"/>
      <c r="C31" s="62"/>
      <c r="D31" s="63"/>
      <c r="E31" s="64"/>
      <c r="F31" s="74"/>
      <c r="G31" s="66"/>
      <c r="H31" s="64"/>
      <c r="I31" s="65"/>
      <c r="J31" s="67"/>
      <c r="K31" s="64"/>
      <c r="L31" s="65"/>
      <c r="M31" s="67"/>
      <c r="N31" s="71"/>
      <c r="O31" s="72"/>
      <c r="P31" s="72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 ht="15.0" customHeight="1">
      <c r="A32" s="61"/>
      <c r="B32" s="62"/>
      <c r="C32" s="62"/>
      <c r="D32" s="63"/>
      <c r="E32" s="64"/>
      <c r="F32" s="65"/>
      <c r="G32" s="65"/>
      <c r="H32" s="64"/>
      <c r="I32" s="74"/>
      <c r="J32" s="75"/>
      <c r="K32" s="64"/>
      <c r="L32" s="75"/>
      <c r="M32" s="67"/>
      <c r="N32" s="76"/>
      <c r="O32" s="72"/>
      <c r="P32" s="72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ht="15.0" customHeight="1">
      <c r="A33" s="77"/>
      <c r="B33" s="78"/>
      <c r="C33" s="78"/>
      <c r="D33" s="78"/>
      <c r="E33" s="79"/>
      <c r="F33" s="80"/>
      <c r="G33" s="81"/>
      <c r="H33" s="79"/>
      <c r="I33" s="80"/>
      <c r="J33" s="82"/>
      <c r="K33" s="79"/>
      <c r="L33" s="83"/>
      <c r="M33" s="82"/>
      <c r="N33" s="71"/>
      <c r="O33" s="72"/>
      <c r="P33" s="72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 ht="15.0" customHeight="1">
      <c r="A34" s="77"/>
      <c r="B34" s="78"/>
      <c r="C34" s="78"/>
      <c r="D34" s="78"/>
      <c r="E34" s="79"/>
      <c r="F34" s="80"/>
      <c r="G34" s="81"/>
      <c r="H34" s="79"/>
      <c r="I34" s="80"/>
      <c r="J34" s="82"/>
      <c r="K34" s="79"/>
      <c r="L34" s="83"/>
      <c r="M34" s="82"/>
      <c r="N34" s="71"/>
      <c r="O34" s="72"/>
      <c r="P34" s="72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 ht="15.0" customHeight="1">
      <c r="A35" s="77"/>
      <c r="B35" s="78"/>
      <c r="C35" s="78"/>
      <c r="D35" s="78"/>
      <c r="E35" s="79"/>
      <c r="F35" s="80"/>
      <c r="G35" s="81"/>
      <c r="H35" s="79"/>
      <c r="I35" s="80"/>
      <c r="J35" s="82"/>
      <c r="K35" s="79"/>
      <c r="L35" s="83"/>
      <c r="M35" s="82"/>
      <c r="N35" s="71"/>
      <c r="O35" s="72"/>
      <c r="P35" s="72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 ht="15.0" customHeight="1">
      <c r="A36" s="77"/>
      <c r="B36" s="78"/>
      <c r="C36" s="78"/>
      <c r="D36" s="78"/>
      <c r="E36" s="79"/>
      <c r="F36" s="80"/>
      <c r="G36" s="81"/>
      <c r="H36" s="79"/>
      <c r="I36" s="80"/>
      <c r="J36" s="82"/>
      <c r="K36" s="79"/>
      <c r="L36" s="83"/>
      <c r="M36" s="82"/>
      <c r="N36" s="71"/>
      <c r="O36" s="72"/>
      <c r="P36" s="72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 ht="15.0" customHeight="1">
      <c r="A37" s="77"/>
      <c r="B37" s="78"/>
      <c r="C37" s="78"/>
      <c r="D37" s="78"/>
      <c r="E37" s="79"/>
      <c r="F37" s="80"/>
      <c r="G37" s="81"/>
      <c r="H37" s="79"/>
      <c r="I37" s="80"/>
      <c r="J37" s="82"/>
      <c r="K37" s="79"/>
      <c r="L37" s="83"/>
      <c r="M37" s="82"/>
      <c r="N37" s="71"/>
      <c r="O37" s="72"/>
      <c r="P37" s="72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ht="15.0" customHeight="1">
      <c r="A38" s="77"/>
      <c r="B38" s="78"/>
      <c r="C38" s="78"/>
      <c r="D38" s="78"/>
      <c r="E38" s="79"/>
      <c r="F38" s="80"/>
      <c r="G38" s="81"/>
      <c r="H38" s="79"/>
      <c r="I38" s="80"/>
      <c r="J38" s="82"/>
      <c r="K38" s="79"/>
      <c r="L38" s="83"/>
      <c r="M38" s="82"/>
      <c r="N38" s="71"/>
      <c r="O38" s="72"/>
      <c r="P38" s="72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ht="15.0" customHeight="1">
      <c r="A39" s="77"/>
      <c r="B39" s="78"/>
      <c r="C39" s="78"/>
      <c r="D39" s="78"/>
      <c r="E39" s="79"/>
      <c r="F39" s="80"/>
      <c r="G39" s="81"/>
      <c r="H39" s="79"/>
      <c r="I39" s="80"/>
      <c r="J39" s="82"/>
      <c r="K39" s="79"/>
      <c r="L39" s="83"/>
      <c r="M39" s="82"/>
      <c r="N39" s="71"/>
      <c r="O39" s="72"/>
      <c r="P39" s="72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 ht="15.0" customHeight="1">
      <c r="A40" s="77"/>
      <c r="B40" s="78"/>
      <c r="C40" s="78"/>
      <c r="D40" s="78"/>
      <c r="E40" s="79"/>
      <c r="F40" s="80"/>
      <c r="G40" s="81"/>
      <c r="H40" s="79"/>
      <c r="I40" s="80"/>
      <c r="J40" s="82"/>
      <c r="K40" s="79"/>
      <c r="L40" s="83"/>
      <c r="M40" s="82"/>
      <c r="N40" s="71"/>
      <c r="O40" s="72"/>
      <c r="P40" s="72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ht="15.0" customHeight="1">
      <c r="A41" s="77"/>
      <c r="B41" s="78"/>
      <c r="C41" s="78"/>
      <c r="D41" s="78"/>
      <c r="E41" s="79"/>
      <c r="F41" s="80"/>
      <c r="G41" s="81"/>
      <c r="H41" s="79"/>
      <c r="I41" s="80"/>
      <c r="J41" s="82"/>
      <c r="K41" s="79"/>
      <c r="L41" s="83"/>
      <c r="M41" s="82"/>
      <c r="N41" s="71"/>
      <c r="O41" s="72"/>
      <c r="P41" s="72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 ht="15.0" customHeight="1">
      <c r="A42" s="77"/>
      <c r="B42" s="78"/>
      <c r="C42" s="78"/>
      <c r="D42" s="78"/>
      <c r="E42" s="79"/>
      <c r="F42" s="80"/>
      <c r="G42" s="81"/>
      <c r="H42" s="79"/>
      <c r="I42" s="80"/>
      <c r="J42" s="82"/>
      <c r="K42" s="79"/>
      <c r="L42" s="83"/>
      <c r="M42" s="82"/>
      <c r="N42" s="71"/>
      <c r="O42" s="72"/>
      <c r="P42" s="72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 ht="15.0" customHeight="1">
      <c r="A43" s="77"/>
      <c r="B43" s="78"/>
      <c r="C43" s="78"/>
      <c r="D43" s="78"/>
      <c r="E43" s="79"/>
      <c r="F43" s="80"/>
      <c r="G43" s="81"/>
      <c r="H43" s="79"/>
      <c r="I43" s="80"/>
      <c r="J43" s="82"/>
      <c r="K43" s="79"/>
      <c r="L43" s="83"/>
      <c r="M43" s="82"/>
      <c r="N43" s="71"/>
      <c r="O43" s="72"/>
      <c r="P43" s="72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ht="15.0" customHeight="1">
      <c r="A44" s="77"/>
      <c r="B44" s="78"/>
      <c r="C44" s="78"/>
      <c r="D44" s="78"/>
      <c r="E44" s="79"/>
      <c r="F44" s="80"/>
      <c r="G44" s="81"/>
      <c r="H44" s="79"/>
      <c r="I44" s="80"/>
      <c r="J44" s="82"/>
      <c r="K44" s="79"/>
      <c r="L44" s="83"/>
      <c r="M44" s="82"/>
      <c r="N44" s="71"/>
      <c r="O44" s="72"/>
      <c r="P44" s="72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ht="15.0" customHeight="1">
      <c r="A45" s="77"/>
      <c r="B45" s="78"/>
      <c r="C45" s="78"/>
      <c r="D45" s="78"/>
      <c r="E45" s="79"/>
      <c r="F45" s="80"/>
      <c r="G45" s="81"/>
      <c r="H45" s="79"/>
      <c r="I45" s="80"/>
      <c r="J45" s="82"/>
      <c r="K45" s="79"/>
      <c r="L45" s="83"/>
      <c r="M45" s="82"/>
      <c r="N45" s="71"/>
      <c r="O45" s="72"/>
      <c r="P45" s="72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ht="15.0" customHeight="1">
      <c r="A46" s="77"/>
      <c r="B46" s="78"/>
      <c r="C46" s="78"/>
      <c r="D46" s="78"/>
      <c r="E46" s="79"/>
      <c r="F46" s="80"/>
      <c r="G46" s="81"/>
      <c r="H46" s="79"/>
      <c r="I46" s="80"/>
      <c r="J46" s="82"/>
      <c r="K46" s="79"/>
      <c r="L46" s="83"/>
      <c r="M46" s="82"/>
      <c r="N46" s="71"/>
      <c r="O46" s="72"/>
      <c r="P46" s="72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ht="15.0" customHeight="1">
      <c r="A47" s="77"/>
      <c r="B47" s="78"/>
      <c r="C47" s="78"/>
      <c r="D47" s="78"/>
      <c r="E47" s="79"/>
      <c r="F47" s="80"/>
      <c r="G47" s="81"/>
      <c r="H47" s="79"/>
      <c r="I47" s="80"/>
      <c r="J47" s="82"/>
      <c r="K47" s="79"/>
      <c r="L47" s="83"/>
      <c r="M47" s="82"/>
      <c r="N47" s="71"/>
      <c r="O47" s="72"/>
      <c r="P47" s="72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 ht="15.0" customHeight="1">
      <c r="A48" s="77"/>
      <c r="B48" s="78"/>
      <c r="C48" s="78"/>
      <c r="D48" s="78"/>
      <c r="E48" s="79"/>
      <c r="F48" s="80"/>
      <c r="G48" s="81"/>
      <c r="H48" s="79"/>
      <c r="I48" s="80"/>
      <c r="J48" s="82"/>
      <c r="K48" s="79"/>
      <c r="L48" s="83"/>
      <c r="M48" s="82"/>
      <c r="N48" s="71"/>
      <c r="O48" s="72"/>
      <c r="P48" s="72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 ht="15.0" customHeight="1">
      <c r="A49" s="77"/>
      <c r="B49" s="78"/>
      <c r="C49" s="78"/>
      <c r="D49" s="78"/>
      <c r="E49" s="79"/>
      <c r="F49" s="80"/>
      <c r="G49" s="81"/>
      <c r="H49" s="79"/>
      <c r="I49" s="80"/>
      <c r="J49" s="82"/>
      <c r="K49" s="79"/>
      <c r="L49" s="83"/>
      <c r="M49" s="82"/>
      <c r="N49" s="71"/>
      <c r="O49" s="72"/>
      <c r="P49" s="72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 ht="15.0" customHeight="1">
      <c r="A50" s="77"/>
      <c r="B50" s="78"/>
      <c r="C50" s="78"/>
      <c r="D50" s="78"/>
      <c r="E50" s="79"/>
      <c r="F50" s="80"/>
      <c r="G50" s="81"/>
      <c r="H50" s="79"/>
      <c r="I50" s="80"/>
      <c r="J50" s="82"/>
      <c r="K50" s="79"/>
      <c r="L50" s="83"/>
      <c r="M50" s="82"/>
      <c r="N50" s="71"/>
      <c r="O50" s="72"/>
      <c r="P50" s="72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ht="15.0" customHeight="1">
      <c r="A51" s="77"/>
      <c r="B51" s="78"/>
      <c r="C51" s="78"/>
      <c r="D51" s="78"/>
      <c r="E51" s="79"/>
      <c r="F51" s="80"/>
      <c r="G51" s="81"/>
      <c r="H51" s="79"/>
      <c r="I51" s="80"/>
      <c r="J51" s="82"/>
      <c r="K51" s="79"/>
      <c r="L51" s="83"/>
      <c r="M51" s="82"/>
      <c r="N51" s="71"/>
      <c r="O51" s="72"/>
      <c r="P51" s="72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 ht="15.0" customHeight="1">
      <c r="A52" s="77"/>
      <c r="B52" s="78"/>
      <c r="C52" s="78"/>
      <c r="D52" s="78"/>
      <c r="E52" s="79"/>
      <c r="F52" s="80"/>
      <c r="G52" s="81"/>
      <c r="H52" s="79"/>
      <c r="I52" s="80"/>
      <c r="J52" s="82"/>
      <c r="K52" s="79"/>
      <c r="L52" s="83"/>
      <c r="M52" s="82"/>
      <c r="N52" s="71"/>
      <c r="O52" s="72"/>
      <c r="P52" s="72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ht="15.0" customHeight="1">
      <c r="A53" s="77"/>
      <c r="B53" s="78"/>
      <c r="C53" s="78"/>
      <c r="D53" s="78"/>
      <c r="E53" s="79"/>
      <c r="F53" s="80"/>
      <c r="G53" s="81"/>
      <c r="H53" s="79"/>
      <c r="I53" s="80"/>
      <c r="J53" s="82"/>
      <c r="K53" s="79"/>
      <c r="L53" s="83"/>
      <c r="M53" s="82"/>
      <c r="N53" s="71"/>
      <c r="O53" s="72"/>
      <c r="P53" s="72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ht="15.0" customHeight="1">
      <c r="A54" s="77"/>
      <c r="B54" s="78"/>
      <c r="C54" s="78"/>
      <c r="D54" s="78"/>
      <c r="E54" s="79"/>
      <c r="F54" s="80"/>
      <c r="G54" s="81"/>
      <c r="H54" s="79"/>
      <c r="I54" s="80"/>
      <c r="J54" s="82"/>
      <c r="K54" s="79"/>
      <c r="L54" s="83"/>
      <c r="M54" s="82"/>
      <c r="N54" s="71"/>
      <c r="O54" s="72"/>
      <c r="P54" s="72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ht="15.0" customHeight="1">
      <c r="A55" s="77"/>
      <c r="B55" s="78"/>
      <c r="C55" s="78"/>
      <c r="D55" s="78"/>
      <c r="E55" s="79"/>
      <c r="F55" s="80"/>
      <c r="G55" s="81"/>
      <c r="H55" s="79"/>
      <c r="I55" s="80"/>
      <c r="J55" s="82"/>
      <c r="K55" s="79"/>
      <c r="L55" s="83"/>
      <c r="M55" s="82"/>
      <c r="N55" s="71"/>
      <c r="O55" s="72"/>
      <c r="P55" s="72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 ht="15.0" customHeight="1">
      <c r="A56" s="77"/>
      <c r="B56" s="78"/>
      <c r="C56" s="78"/>
      <c r="D56" s="78"/>
      <c r="E56" s="79"/>
      <c r="F56" s="80"/>
      <c r="G56" s="81"/>
      <c r="H56" s="79"/>
      <c r="I56" s="80"/>
      <c r="J56" s="82"/>
      <c r="K56" s="79"/>
      <c r="L56" s="83"/>
      <c r="M56" s="82"/>
      <c r="N56" s="71"/>
      <c r="O56" s="72"/>
      <c r="P56" s="72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 ht="15.0" customHeight="1">
      <c r="A57" s="77"/>
      <c r="B57" s="78"/>
      <c r="C57" s="78"/>
      <c r="D57" s="78"/>
      <c r="E57" s="79"/>
      <c r="F57" s="80"/>
      <c r="G57" s="81"/>
      <c r="H57" s="79"/>
      <c r="I57" s="80"/>
      <c r="J57" s="82"/>
      <c r="K57" s="79"/>
      <c r="L57" s="83"/>
      <c r="M57" s="82"/>
      <c r="N57" s="71"/>
      <c r="O57" s="72"/>
      <c r="P57" s="72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ht="15.0" customHeight="1">
      <c r="A58" s="77"/>
      <c r="B58" s="78"/>
      <c r="C58" s="78"/>
      <c r="D58" s="78"/>
      <c r="E58" s="79"/>
      <c r="F58" s="80"/>
      <c r="G58" s="81"/>
      <c r="H58" s="79"/>
      <c r="I58" s="80"/>
      <c r="J58" s="82"/>
      <c r="K58" s="79"/>
      <c r="L58" s="83"/>
      <c r="M58" s="82"/>
      <c r="N58" s="71"/>
      <c r="O58" s="72"/>
      <c r="P58" s="72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ht="15.0" customHeight="1">
      <c r="A59" s="77"/>
      <c r="B59" s="78"/>
      <c r="C59" s="78"/>
      <c r="D59" s="78"/>
      <c r="E59" s="79"/>
      <c r="F59" s="80"/>
      <c r="G59" s="81"/>
      <c r="H59" s="79"/>
      <c r="I59" s="80"/>
      <c r="J59" s="82"/>
      <c r="K59" s="79"/>
      <c r="L59" s="83"/>
      <c r="M59" s="82"/>
      <c r="N59" s="71"/>
      <c r="O59" s="72"/>
      <c r="P59" s="72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ht="15.0" customHeight="1">
      <c r="A60" s="77"/>
      <c r="B60" s="78"/>
      <c r="C60" s="78"/>
      <c r="D60" s="78"/>
      <c r="E60" s="79"/>
      <c r="F60" s="80"/>
      <c r="G60" s="81"/>
      <c r="H60" s="79"/>
      <c r="I60" s="80"/>
      <c r="J60" s="82"/>
      <c r="K60" s="79"/>
      <c r="L60" s="83"/>
      <c r="M60" s="82"/>
      <c r="N60" s="71"/>
      <c r="O60" s="72"/>
      <c r="P60" s="72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ht="15.0" customHeight="1">
      <c r="A61" s="77"/>
      <c r="B61" s="78"/>
      <c r="C61" s="78"/>
      <c r="D61" s="78"/>
      <c r="E61" s="79"/>
      <c r="F61" s="80"/>
      <c r="G61" s="81"/>
      <c r="H61" s="79"/>
      <c r="I61" s="80"/>
      <c r="J61" s="82"/>
      <c r="K61" s="79"/>
      <c r="L61" s="83"/>
      <c r="M61" s="82"/>
      <c r="N61" s="71"/>
      <c r="O61" s="72"/>
      <c r="P61" s="72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ht="15.0" customHeight="1">
      <c r="A62" s="77"/>
      <c r="B62" s="78"/>
      <c r="C62" s="78"/>
      <c r="D62" s="78"/>
      <c r="E62" s="79"/>
      <c r="F62" s="80"/>
      <c r="G62" s="81"/>
      <c r="H62" s="79"/>
      <c r="I62" s="80"/>
      <c r="J62" s="82"/>
      <c r="K62" s="79"/>
      <c r="L62" s="83"/>
      <c r="M62" s="82"/>
      <c r="N62" s="71"/>
      <c r="O62" s="72"/>
      <c r="P62" s="72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ht="15.0" customHeight="1">
      <c r="A63" s="77"/>
      <c r="B63" s="78"/>
      <c r="C63" s="78"/>
      <c r="D63" s="78"/>
      <c r="E63" s="79"/>
      <c r="F63" s="80"/>
      <c r="G63" s="81"/>
      <c r="H63" s="79"/>
      <c r="I63" s="80"/>
      <c r="J63" s="82"/>
      <c r="K63" s="79"/>
      <c r="L63" s="83"/>
      <c r="M63" s="82"/>
      <c r="N63" s="71"/>
      <c r="O63" s="72"/>
      <c r="P63" s="72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ht="15.0" customHeight="1">
      <c r="A64" s="77"/>
      <c r="B64" s="78"/>
      <c r="C64" s="78"/>
      <c r="D64" s="78"/>
      <c r="E64" s="79"/>
      <c r="F64" s="80"/>
      <c r="G64" s="81"/>
      <c r="H64" s="79"/>
      <c r="I64" s="80"/>
      <c r="J64" s="82"/>
      <c r="K64" s="79"/>
      <c r="L64" s="83"/>
      <c r="M64" s="82"/>
      <c r="N64" s="71"/>
      <c r="O64" s="72"/>
      <c r="P64" s="72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ht="15.0" customHeight="1">
      <c r="A65" s="77"/>
      <c r="B65" s="78"/>
      <c r="C65" s="78"/>
      <c r="D65" s="78"/>
      <c r="E65" s="79"/>
      <c r="F65" s="80"/>
      <c r="G65" s="81"/>
      <c r="H65" s="79"/>
      <c r="I65" s="80"/>
      <c r="J65" s="82"/>
      <c r="K65" s="79"/>
      <c r="L65" s="83"/>
      <c r="M65" s="82"/>
      <c r="N65" s="71"/>
      <c r="O65" s="72"/>
      <c r="P65" s="72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 ht="15.0" customHeight="1">
      <c r="A66" s="77"/>
      <c r="B66" s="78"/>
      <c r="C66" s="78"/>
      <c r="D66" s="78"/>
      <c r="E66" s="79"/>
      <c r="F66" s="80"/>
      <c r="G66" s="81"/>
      <c r="H66" s="79"/>
      <c r="I66" s="80"/>
      <c r="J66" s="82"/>
      <c r="K66" s="79"/>
      <c r="L66" s="83"/>
      <c r="M66" s="82"/>
      <c r="N66" s="71"/>
      <c r="O66" s="72"/>
      <c r="P66" s="72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ht="15.0" customHeight="1">
      <c r="A67" s="77"/>
      <c r="B67" s="78"/>
      <c r="C67" s="78"/>
      <c r="D67" s="78"/>
      <c r="E67" s="79"/>
      <c r="F67" s="80"/>
      <c r="G67" s="81"/>
      <c r="H67" s="79"/>
      <c r="I67" s="80"/>
      <c r="J67" s="82"/>
      <c r="K67" s="79"/>
      <c r="L67" s="83"/>
      <c r="M67" s="82"/>
      <c r="N67" s="71"/>
      <c r="O67" s="72"/>
      <c r="P67" s="72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ht="15.0" customHeight="1">
      <c r="A68" s="77"/>
      <c r="B68" s="78"/>
      <c r="C68" s="78"/>
      <c r="D68" s="78"/>
      <c r="E68" s="79"/>
      <c r="F68" s="80"/>
      <c r="G68" s="81"/>
      <c r="H68" s="79"/>
      <c r="I68" s="80"/>
      <c r="J68" s="82"/>
      <c r="K68" s="79"/>
      <c r="L68" s="83"/>
      <c r="M68" s="82"/>
      <c r="N68" s="71"/>
      <c r="O68" s="72"/>
      <c r="P68" s="72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ht="15.0" customHeight="1">
      <c r="A69" s="77"/>
      <c r="B69" s="78"/>
      <c r="C69" s="78"/>
      <c r="D69" s="78"/>
      <c r="E69" s="79"/>
      <c r="F69" s="80"/>
      <c r="G69" s="81"/>
      <c r="H69" s="79"/>
      <c r="I69" s="80"/>
      <c r="J69" s="82"/>
      <c r="K69" s="79"/>
      <c r="L69" s="83"/>
      <c r="M69" s="82"/>
      <c r="N69" s="71"/>
      <c r="O69" s="72"/>
      <c r="P69" s="72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ht="15.0" customHeight="1">
      <c r="A70" s="77"/>
      <c r="B70" s="78"/>
      <c r="C70" s="78"/>
      <c r="D70" s="84"/>
      <c r="E70" s="79"/>
      <c r="F70" s="80"/>
      <c r="G70" s="81"/>
      <c r="H70" s="79"/>
      <c r="I70" s="80"/>
      <c r="J70" s="82"/>
      <c r="K70" s="79"/>
      <c r="L70" s="83"/>
      <c r="M70" s="82"/>
      <c r="N70" s="71"/>
      <c r="O70" s="72"/>
      <c r="P70" s="72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ht="15.0" customHeight="1">
      <c r="A71" s="77"/>
      <c r="B71" s="78"/>
      <c r="C71" s="78"/>
      <c r="D71" s="84"/>
      <c r="E71" s="79"/>
      <c r="F71" s="80"/>
      <c r="G71" s="81"/>
      <c r="H71" s="79"/>
      <c r="I71" s="80"/>
      <c r="J71" s="82"/>
      <c r="K71" s="79"/>
      <c r="L71" s="83"/>
      <c r="M71" s="82"/>
      <c r="N71" s="71"/>
      <c r="O71" s="72"/>
      <c r="P71" s="72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ht="15.0" customHeight="1">
      <c r="A72" s="77"/>
      <c r="B72" s="78"/>
      <c r="C72" s="78"/>
      <c r="D72" s="84"/>
      <c r="E72" s="79"/>
      <c r="F72" s="80"/>
      <c r="G72" s="81"/>
      <c r="H72" s="79"/>
      <c r="I72" s="80"/>
      <c r="J72" s="82"/>
      <c r="K72" s="79"/>
      <c r="L72" s="83"/>
      <c r="M72" s="82"/>
      <c r="N72" s="71"/>
      <c r="O72" s="72"/>
      <c r="P72" s="72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ht="15.0" customHeight="1">
      <c r="A73" s="77"/>
      <c r="B73" s="78"/>
      <c r="C73" s="78"/>
      <c r="D73" s="84"/>
      <c r="E73" s="79"/>
      <c r="F73" s="80"/>
      <c r="G73" s="81"/>
      <c r="H73" s="79"/>
      <c r="I73" s="80"/>
      <c r="J73" s="82"/>
      <c r="K73" s="79"/>
      <c r="L73" s="83"/>
      <c r="M73" s="82"/>
      <c r="N73" s="71"/>
      <c r="O73" s="72"/>
      <c r="P73" s="72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ht="15.0" customHeight="1">
      <c r="A74" s="77"/>
      <c r="B74" s="78"/>
      <c r="C74" s="78"/>
      <c r="D74" s="84"/>
      <c r="E74" s="79"/>
      <c r="F74" s="80"/>
      <c r="G74" s="81"/>
      <c r="H74" s="79"/>
      <c r="I74" s="80"/>
      <c r="J74" s="82"/>
      <c r="K74" s="79"/>
      <c r="L74" s="83"/>
      <c r="M74" s="82"/>
      <c r="N74" s="71"/>
      <c r="O74" s="72"/>
      <c r="P74" s="72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ht="15.0" customHeight="1">
      <c r="A75" s="77"/>
      <c r="B75" s="78"/>
      <c r="C75" s="78"/>
      <c r="D75" s="84"/>
      <c r="E75" s="79"/>
      <c r="F75" s="80"/>
      <c r="G75" s="81"/>
      <c r="H75" s="79"/>
      <c r="I75" s="80"/>
      <c r="J75" s="82"/>
      <c r="K75" s="79"/>
      <c r="L75" s="83"/>
      <c r="M75" s="82"/>
      <c r="N75" s="71"/>
      <c r="O75" s="72"/>
      <c r="P75" s="72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ht="15.0" customHeight="1">
      <c r="A76" s="77"/>
      <c r="B76" s="78"/>
      <c r="C76" s="78"/>
      <c r="D76" s="84"/>
      <c r="E76" s="79"/>
      <c r="F76" s="80"/>
      <c r="G76" s="81"/>
      <c r="H76" s="79"/>
      <c r="I76" s="80"/>
      <c r="J76" s="82"/>
      <c r="K76" s="79"/>
      <c r="L76" s="83"/>
      <c r="M76" s="82"/>
      <c r="N76" s="71"/>
      <c r="O76" s="72"/>
      <c r="P76" s="72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ht="15.0" customHeight="1">
      <c r="A77" s="77"/>
      <c r="B77" s="78"/>
      <c r="C77" s="78"/>
      <c r="D77" s="84"/>
      <c r="E77" s="79"/>
      <c r="F77" s="80"/>
      <c r="G77" s="81"/>
      <c r="H77" s="79"/>
      <c r="I77" s="80"/>
      <c r="J77" s="82"/>
      <c r="K77" s="79"/>
      <c r="L77" s="83"/>
      <c r="M77" s="82"/>
      <c r="N77" s="71"/>
      <c r="O77" s="72"/>
      <c r="P77" s="72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ht="15.0" customHeight="1">
      <c r="A78" s="77"/>
      <c r="B78" s="78"/>
      <c r="C78" s="78"/>
      <c r="D78" s="84"/>
      <c r="E78" s="79"/>
      <c r="F78" s="80"/>
      <c r="G78" s="81"/>
      <c r="H78" s="79"/>
      <c r="I78" s="80"/>
      <c r="J78" s="82"/>
      <c r="K78" s="79"/>
      <c r="L78" s="83"/>
      <c r="M78" s="82"/>
      <c r="N78" s="71"/>
      <c r="O78" s="72"/>
      <c r="P78" s="72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ht="15.0" customHeight="1">
      <c r="A79" s="77"/>
      <c r="B79" s="78"/>
      <c r="C79" s="78"/>
      <c r="D79" s="84"/>
      <c r="E79" s="79"/>
      <c r="F79" s="80"/>
      <c r="G79" s="81"/>
      <c r="H79" s="79"/>
      <c r="I79" s="80"/>
      <c r="J79" s="82"/>
      <c r="K79" s="79"/>
      <c r="L79" s="83"/>
      <c r="M79" s="82"/>
      <c r="N79" s="71"/>
      <c r="O79" s="72"/>
      <c r="P79" s="72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ht="15.0" customHeight="1">
      <c r="A80" s="85"/>
      <c r="B80" s="78"/>
      <c r="C80" s="78"/>
      <c r="D80" s="84"/>
      <c r="E80" s="83"/>
      <c r="F80" s="80"/>
      <c r="G80" s="82"/>
      <c r="H80" s="83"/>
      <c r="I80" s="80"/>
      <c r="J80" s="82"/>
      <c r="K80" s="83"/>
      <c r="L80" s="80"/>
      <c r="M80" s="82"/>
      <c r="N80" s="71"/>
      <c r="O80" s="72"/>
      <c r="P80" s="72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ht="15.0" customHeight="1">
      <c r="A81" s="85"/>
      <c r="B81" s="78"/>
      <c r="C81" s="78"/>
      <c r="D81" s="84"/>
      <c r="E81" s="83"/>
      <c r="F81" s="80"/>
      <c r="G81" s="82"/>
      <c r="H81" s="83"/>
      <c r="I81" s="80"/>
      <c r="J81" s="82"/>
      <c r="K81" s="83"/>
      <c r="L81" s="80"/>
      <c r="M81" s="82"/>
      <c r="N81" s="86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5.0" customHeight="1">
      <c r="A82" s="85"/>
      <c r="B82" s="78"/>
      <c r="C82" s="78"/>
      <c r="D82" s="84"/>
      <c r="E82" s="83"/>
      <c r="F82" s="80"/>
      <c r="G82" s="82"/>
      <c r="H82" s="83"/>
      <c r="I82" s="80"/>
      <c r="J82" s="82"/>
      <c r="K82" s="83"/>
      <c r="L82" s="80"/>
      <c r="M82" s="82"/>
      <c r="N82" s="86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5.0" customHeight="1">
      <c r="A83" s="85"/>
      <c r="B83" s="78"/>
      <c r="C83" s="78"/>
      <c r="D83" s="84"/>
      <c r="E83" s="83"/>
      <c r="F83" s="80"/>
      <c r="G83" s="82"/>
      <c r="H83" s="83"/>
      <c r="I83" s="80"/>
      <c r="J83" s="82"/>
      <c r="K83" s="83"/>
      <c r="L83" s="80"/>
      <c r="M83" s="82"/>
      <c r="N83" s="86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5.0" customHeight="1">
      <c r="A84" s="85"/>
      <c r="B84" s="78"/>
      <c r="C84" s="78"/>
      <c r="D84" s="84"/>
      <c r="E84" s="83"/>
      <c r="F84" s="80"/>
      <c r="G84" s="82"/>
      <c r="H84" s="83"/>
      <c r="I84" s="80"/>
      <c r="J84" s="82"/>
      <c r="K84" s="83"/>
      <c r="L84" s="80"/>
      <c r="M84" s="82"/>
      <c r="N84" s="86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5.0" customHeight="1">
      <c r="A85" s="85"/>
      <c r="B85" s="78"/>
      <c r="C85" s="78"/>
      <c r="D85" s="84"/>
      <c r="E85" s="83"/>
      <c r="F85" s="80"/>
      <c r="G85" s="82"/>
      <c r="H85" s="83"/>
      <c r="I85" s="80"/>
      <c r="J85" s="82"/>
      <c r="K85" s="83"/>
      <c r="L85" s="80"/>
      <c r="M85" s="82"/>
      <c r="N85" s="86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5.0" customHeight="1">
      <c r="A86" s="85"/>
      <c r="B86" s="78"/>
      <c r="C86" s="78"/>
      <c r="D86" s="84"/>
      <c r="E86" s="83"/>
      <c r="F86" s="80"/>
      <c r="G86" s="82"/>
      <c r="H86" s="83"/>
      <c r="I86" s="80"/>
      <c r="J86" s="82"/>
      <c r="K86" s="83"/>
      <c r="L86" s="80"/>
      <c r="M86" s="82"/>
      <c r="N86" s="86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5.0" customHeight="1">
      <c r="A87" s="85"/>
      <c r="B87" s="78"/>
      <c r="C87" s="78"/>
      <c r="D87" s="84"/>
      <c r="E87" s="83"/>
      <c r="F87" s="80"/>
      <c r="G87" s="82"/>
      <c r="H87" s="83"/>
      <c r="I87" s="80"/>
      <c r="J87" s="82"/>
      <c r="K87" s="83"/>
      <c r="L87" s="80"/>
      <c r="M87" s="82"/>
      <c r="N87" s="86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5.0" customHeight="1">
      <c r="A88" s="85"/>
      <c r="B88" s="78"/>
      <c r="C88" s="78"/>
      <c r="D88" s="84"/>
      <c r="E88" s="83"/>
      <c r="F88" s="80"/>
      <c r="G88" s="82"/>
      <c r="H88" s="83"/>
      <c r="I88" s="80"/>
      <c r="J88" s="82"/>
      <c r="K88" s="83"/>
      <c r="L88" s="80"/>
      <c r="M88" s="82"/>
      <c r="N88" s="86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5.0" customHeight="1">
      <c r="A89" s="85"/>
      <c r="B89" s="78"/>
      <c r="C89" s="78"/>
      <c r="D89" s="84"/>
      <c r="E89" s="83"/>
      <c r="F89" s="80"/>
      <c r="G89" s="82"/>
      <c r="H89" s="83"/>
      <c r="I89" s="80"/>
      <c r="J89" s="82"/>
      <c r="K89" s="83"/>
      <c r="L89" s="80"/>
      <c r="M89" s="82"/>
      <c r="N89" s="86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5.0" customHeight="1">
      <c r="A90" s="85"/>
      <c r="B90" s="78"/>
      <c r="C90" s="78"/>
      <c r="D90" s="84"/>
      <c r="E90" s="83"/>
      <c r="F90" s="80"/>
      <c r="G90" s="82"/>
      <c r="H90" s="83"/>
      <c r="I90" s="80"/>
      <c r="J90" s="82"/>
      <c r="K90" s="83"/>
      <c r="L90" s="80"/>
      <c r="M90" s="82"/>
      <c r="N90" s="86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5.0" customHeight="1">
      <c r="A91" s="85"/>
      <c r="B91" s="78"/>
      <c r="C91" s="78"/>
      <c r="D91" s="84"/>
      <c r="E91" s="83"/>
      <c r="F91" s="80"/>
      <c r="G91" s="82"/>
      <c r="H91" s="83"/>
      <c r="I91" s="80"/>
      <c r="J91" s="82"/>
      <c r="K91" s="83"/>
      <c r="L91" s="80"/>
      <c r="M91" s="82"/>
      <c r="N91" s="86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5.0" customHeight="1">
      <c r="A92" s="85"/>
      <c r="B92" s="78"/>
      <c r="C92" s="78"/>
      <c r="D92" s="84"/>
      <c r="E92" s="83"/>
      <c r="F92" s="80"/>
      <c r="G92" s="82"/>
      <c r="H92" s="83"/>
      <c r="I92" s="80"/>
      <c r="J92" s="82"/>
      <c r="K92" s="83"/>
      <c r="L92" s="80"/>
      <c r="M92" s="82"/>
      <c r="N92" s="86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5.0" customHeight="1">
      <c r="A93" s="85"/>
      <c r="B93" s="78"/>
      <c r="C93" s="78"/>
      <c r="D93" s="84"/>
      <c r="E93" s="83"/>
      <c r="F93" s="80"/>
      <c r="G93" s="82"/>
      <c r="H93" s="83"/>
      <c r="I93" s="80"/>
      <c r="J93" s="82"/>
      <c r="K93" s="83"/>
      <c r="L93" s="80"/>
      <c r="M93" s="82"/>
      <c r="N93" s="86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5.0" customHeight="1">
      <c r="A94" s="85"/>
      <c r="B94" s="78"/>
      <c r="C94" s="78"/>
      <c r="D94" s="84"/>
      <c r="E94" s="83"/>
      <c r="F94" s="80"/>
      <c r="G94" s="82"/>
      <c r="H94" s="83"/>
      <c r="I94" s="80"/>
      <c r="J94" s="82"/>
      <c r="K94" s="83"/>
      <c r="L94" s="80"/>
      <c r="M94" s="82"/>
      <c r="N94" s="86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5.0" customHeight="1">
      <c r="A95" s="85"/>
      <c r="B95" s="78"/>
      <c r="C95" s="78"/>
      <c r="D95" s="84"/>
      <c r="E95" s="83"/>
      <c r="F95" s="80"/>
      <c r="G95" s="82"/>
      <c r="H95" s="83"/>
      <c r="I95" s="80"/>
      <c r="J95" s="82"/>
      <c r="K95" s="83"/>
      <c r="L95" s="80"/>
      <c r="M95" s="82"/>
      <c r="N95" s="86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5.0" customHeight="1">
      <c r="A96" s="85"/>
      <c r="B96" s="78"/>
      <c r="C96" s="78"/>
      <c r="D96" s="84"/>
      <c r="E96" s="83"/>
      <c r="F96" s="80"/>
      <c r="G96" s="82"/>
      <c r="H96" s="83"/>
      <c r="I96" s="80"/>
      <c r="J96" s="82"/>
      <c r="K96" s="83"/>
      <c r="L96" s="80"/>
      <c r="M96" s="82"/>
      <c r="N96" s="86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5.0" customHeight="1">
      <c r="A97" s="87"/>
      <c r="B97" s="87"/>
      <c r="C97" s="87"/>
      <c r="D97" s="88"/>
      <c r="E97" s="86"/>
      <c r="F97" s="87"/>
      <c r="G97" s="88"/>
      <c r="H97" s="86"/>
      <c r="I97" s="87"/>
      <c r="J97" s="88"/>
      <c r="K97" s="86"/>
      <c r="L97" s="87"/>
      <c r="M97" s="88"/>
      <c r="N97" s="86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5.0" customHeight="1">
      <c r="A98" s="87"/>
      <c r="B98" s="87"/>
      <c r="C98" s="87"/>
      <c r="D98" s="88"/>
      <c r="E98" s="86"/>
      <c r="F98" s="87"/>
      <c r="G98" s="88"/>
      <c r="H98" s="86"/>
      <c r="I98" s="87"/>
      <c r="J98" s="88"/>
      <c r="K98" s="86"/>
      <c r="L98" s="87"/>
      <c r="M98" s="88"/>
      <c r="N98" s="86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5.0" customHeight="1">
      <c r="A99" s="87"/>
      <c r="B99" s="87"/>
      <c r="C99" s="87"/>
      <c r="D99" s="88"/>
      <c r="E99" s="86"/>
      <c r="F99" s="87"/>
      <c r="G99" s="88"/>
      <c r="H99" s="86"/>
      <c r="I99" s="87"/>
      <c r="J99" s="88"/>
      <c r="K99" s="86"/>
      <c r="L99" s="87"/>
      <c r="M99" s="88"/>
      <c r="N99" s="86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5.0" customHeight="1">
      <c r="A100" s="87"/>
      <c r="B100" s="87"/>
      <c r="C100" s="87"/>
      <c r="D100" s="88"/>
      <c r="E100" s="86"/>
      <c r="F100" s="87"/>
      <c r="G100" s="88"/>
      <c r="H100" s="86"/>
      <c r="I100" s="87"/>
      <c r="J100" s="88"/>
      <c r="K100" s="86"/>
      <c r="L100" s="87"/>
      <c r="M100" s="88"/>
      <c r="N100" s="86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5.0" customHeight="1">
      <c r="A101" s="87"/>
      <c r="B101" s="87"/>
      <c r="C101" s="87"/>
      <c r="D101" s="88"/>
      <c r="E101" s="86"/>
      <c r="F101" s="87"/>
      <c r="G101" s="88"/>
      <c r="H101" s="86"/>
      <c r="I101" s="87"/>
      <c r="J101" s="88"/>
      <c r="K101" s="86"/>
      <c r="L101" s="87"/>
      <c r="M101" s="88"/>
      <c r="N101" s="86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5.0" customHeight="1">
      <c r="A102" s="87"/>
      <c r="B102" s="87"/>
      <c r="C102" s="87"/>
      <c r="D102" s="88"/>
      <c r="E102" s="86"/>
      <c r="F102" s="87"/>
      <c r="G102" s="88"/>
      <c r="H102" s="86"/>
      <c r="I102" s="87"/>
      <c r="J102" s="88"/>
      <c r="K102" s="86"/>
      <c r="L102" s="87"/>
      <c r="M102" s="88"/>
      <c r="N102" s="86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5.0" customHeight="1">
      <c r="A103" s="87"/>
      <c r="B103" s="87"/>
      <c r="C103" s="87"/>
      <c r="D103" s="88"/>
      <c r="E103" s="86"/>
      <c r="F103" s="87"/>
      <c r="G103" s="88"/>
      <c r="H103" s="86"/>
      <c r="I103" s="87"/>
      <c r="J103" s="88"/>
      <c r="K103" s="86"/>
      <c r="L103" s="87"/>
      <c r="M103" s="88"/>
      <c r="N103" s="86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5.0" customHeight="1">
      <c r="A104" s="87"/>
      <c r="B104" s="87"/>
      <c r="C104" s="87"/>
      <c r="D104" s="88"/>
      <c r="E104" s="86"/>
      <c r="F104" s="87"/>
      <c r="G104" s="88"/>
      <c r="H104" s="86"/>
      <c r="I104" s="87"/>
      <c r="J104" s="88"/>
      <c r="K104" s="86"/>
      <c r="L104" s="87"/>
      <c r="M104" s="88"/>
      <c r="N104" s="86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5.0" customHeight="1">
      <c r="A105" s="87"/>
      <c r="B105" s="87"/>
      <c r="C105" s="87"/>
      <c r="D105" s="88"/>
      <c r="E105" s="86"/>
      <c r="F105" s="87"/>
      <c r="G105" s="88"/>
      <c r="H105" s="86"/>
      <c r="I105" s="87"/>
      <c r="J105" s="88"/>
      <c r="K105" s="86"/>
      <c r="L105" s="87"/>
      <c r="M105" s="88"/>
      <c r="N105" s="86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5.0" customHeight="1">
      <c r="A106" s="87"/>
      <c r="B106" s="87"/>
      <c r="C106" s="87"/>
      <c r="D106" s="88"/>
      <c r="E106" s="86"/>
      <c r="F106" s="87"/>
      <c r="G106" s="88"/>
      <c r="H106" s="86"/>
      <c r="I106" s="87"/>
      <c r="J106" s="88"/>
      <c r="K106" s="86"/>
      <c r="L106" s="87"/>
      <c r="M106" s="88"/>
      <c r="N106" s="86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5.0" customHeight="1">
      <c r="A107" s="87"/>
      <c r="B107" s="87"/>
      <c r="C107" s="87"/>
      <c r="D107" s="88"/>
      <c r="E107" s="86"/>
      <c r="F107" s="87"/>
      <c r="G107" s="88"/>
      <c r="H107" s="86"/>
      <c r="I107" s="87"/>
      <c r="J107" s="88"/>
      <c r="K107" s="86"/>
      <c r="L107" s="87"/>
      <c r="M107" s="88"/>
      <c r="N107" s="86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5.0" customHeight="1">
      <c r="A108" s="87"/>
      <c r="B108" s="87"/>
      <c r="C108" s="87"/>
      <c r="D108" s="88"/>
      <c r="E108" s="86"/>
      <c r="F108" s="87"/>
      <c r="G108" s="88"/>
      <c r="H108" s="86"/>
      <c r="I108" s="87"/>
      <c r="J108" s="88"/>
      <c r="K108" s="86"/>
      <c r="L108" s="87"/>
      <c r="M108" s="88"/>
      <c r="N108" s="86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5.0" customHeight="1">
      <c r="A109" s="87"/>
      <c r="B109" s="87"/>
      <c r="C109" s="87"/>
      <c r="D109" s="88"/>
      <c r="E109" s="86"/>
      <c r="F109" s="87"/>
      <c r="G109" s="88"/>
      <c r="H109" s="86"/>
      <c r="I109" s="87"/>
      <c r="J109" s="88"/>
      <c r="K109" s="86"/>
      <c r="L109" s="87"/>
      <c r="M109" s="88"/>
      <c r="N109" s="86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5.0" customHeight="1">
      <c r="A110" s="87"/>
      <c r="B110" s="87"/>
      <c r="C110" s="87"/>
      <c r="D110" s="88"/>
      <c r="E110" s="86"/>
      <c r="F110" s="87"/>
      <c r="G110" s="88"/>
      <c r="H110" s="86"/>
      <c r="I110" s="87"/>
      <c r="J110" s="88"/>
      <c r="K110" s="86"/>
      <c r="L110" s="87"/>
      <c r="M110" s="88"/>
      <c r="N110" s="86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5.0" customHeight="1">
      <c r="A111" s="87"/>
      <c r="B111" s="87"/>
      <c r="C111" s="87"/>
      <c r="D111" s="88"/>
      <c r="E111" s="86"/>
      <c r="F111" s="87"/>
      <c r="G111" s="88"/>
      <c r="H111" s="86"/>
      <c r="I111" s="87"/>
      <c r="J111" s="88"/>
      <c r="K111" s="86"/>
      <c r="L111" s="87"/>
      <c r="M111" s="88"/>
      <c r="N111" s="86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5.0" customHeight="1">
      <c r="A112" s="87"/>
      <c r="B112" s="87"/>
      <c r="C112" s="87"/>
      <c r="D112" s="88"/>
      <c r="E112" s="86"/>
      <c r="F112" s="87"/>
      <c r="G112" s="88"/>
      <c r="H112" s="86"/>
      <c r="I112" s="87"/>
      <c r="J112" s="88"/>
      <c r="K112" s="86"/>
      <c r="L112" s="87"/>
      <c r="M112" s="88"/>
      <c r="N112" s="86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5.0" customHeight="1">
      <c r="A113" s="87"/>
      <c r="B113" s="87"/>
      <c r="C113" s="87"/>
      <c r="D113" s="88"/>
      <c r="E113" s="86"/>
      <c r="F113" s="87"/>
      <c r="G113" s="88"/>
      <c r="H113" s="86"/>
      <c r="I113" s="87"/>
      <c r="J113" s="88"/>
      <c r="K113" s="86"/>
      <c r="L113" s="87"/>
      <c r="M113" s="88"/>
      <c r="N113" s="86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5.0" customHeight="1">
      <c r="A114" s="87"/>
      <c r="B114" s="87"/>
      <c r="C114" s="87"/>
      <c r="D114" s="88"/>
      <c r="E114" s="86"/>
      <c r="F114" s="87"/>
      <c r="G114" s="88"/>
      <c r="H114" s="86"/>
      <c r="I114" s="87"/>
      <c r="J114" s="88"/>
      <c r="K114" s="86"/>
      <c r="L114" s="87"/>
      <c r="M114" s="88"/>
      <c r="N114" s="86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5.0" customHeight="1">
      <c r="A115" s="87"/>
      <c r="B115" s="87"/>
      <c r="C115" s="87"/>
      <c r="D115" s="88"/>
      <c r="E115" s="86"/>
      <c r="F115" s="87"/>
      <c r="G115" s="88"/>
      <c r="H115" s="86"/>
      <c r="I115" s="87"/>
      <c r="J115" s="88"/>
      <c r="K115" s="86"/>
      <c r="L115" s="87"/>
      <c r="M115" s="88"/>
      <c r="N115" s="86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5.0" customHeight="1">
      <c r="A116" s="87"/>
      <c r="B116" s="87"/>
      <c r="C116" s="87"/>
      <c r="D116" s="88"/>
      <c r="E116" s="86"/>
      <c r="F116" s="87"/>
      <c r="G116" s="88"/>
      <c r="H116" s="86"/>
      <c r="I116" s="87"/>
      <c r="J116" s="88"/>
      <c r="K116" s="86"/>
      <c r="L116" s="87"/>
      <c r="M116" s="88"/>
      <c r="N116" s="86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5.0" customHeight="1">
      <c r="A117" s="87"/>
      <c r="B117" s="87"/>
      <c r="C117" s="87"/>
      <c r="D117" s="88"/>
      <c r="E117" s="86"/>
      <c r="F117" s="87"/>
      <c r="G117" s="88"/>
      <c r="H117" s="86"/>
      <c r="I117" s="87"/>
      <c r="J117" s="88"/>
      <c r="K117" s="86"/>
      <c r="L117" s="87"/>
      <c r="M117" s="88"/>
      <c r="N117" s="86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5.0" customHeight="1">
      <c r="A118" s="87"/>
      <c r="B118" s="87"/>
      <c r="C118" s="87"/>
      <c r="D118" s="88"/>
      <c r="E118" s="86"/>
      <c r="F118" s="87"/>
      <c r="G118" s="88"/>
      <c r="H118" s="86"/>
      <c r="I118" s="87"/>
      <c r="J118" s="88"/>
      <c r="K118" s="86"/>
      <c r="L118" s="87"/>
      <c r="M118" s="88"/>
      <c r="N118" s="86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5.0" customHeight="1">
      <c r="A119" s="87"/>
      <c r="B119" s="87"/>
      <c r="C119" s="87"/>
      <c r="D119" s="88"/>
      <c r="E119" s="86"/>
      <c r="F119" s="87"/>
      <c r="G119" s="88"/>
      <c r="H119" s="86"/>
      <c r="I119" s="87"/>
      <c r="J119" s="88"/>
      <c r="K119" s="86"/>
      <c r="L119" s="87"/>
      <c r="M119" s="88"/>
      <c r="N119" s="86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5.0" customHeight="1">
      <c r="A120" s="87"/>
      <c r="B120" s="87"/>
      <c r="C120" s="87"/>
      <c r="D120" s="88"/>
      <c r="E120" s="86"/>
      <c r="F120" s="87"/>
      <c r="G120" s="88"/>
      <c r="H120" s="86"/>
      <c r="I120" s="87"/>
      <c r="J120" s="88"/>
      <c r="K120" s="86"/>
      <c r="L120" s="87"/>
      <c r="M120" s="88"/>
      <c r="N120" s="86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5.0" customHeight="1">
      <c r="A121" s="87"/>
      <c r="B121" s="87"/>
      <c r="C121" s="87"/>
      <c r="D121" s="88"/>
      <c r="E121" s="86"/>
      <c r="F121" s="87"/>
      <c r="G121" s="88"/>
      <c r="H121" s="86"/>
      <c r="I121" s="87"/>
      <c r="J121" s="88"/>
      <c r="K121" s="86"/>
      <c r="L121" s="87"/>
      <c r="M121" s="88"/>
      <c r="N121" s="86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6.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6.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6.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6.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6.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6.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6.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6.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6.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6.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6.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6.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6.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6.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6.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6.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6.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6.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6.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6.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6.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6.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6.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6.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6.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6.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6.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6.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6.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6.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6.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6.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6.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6.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6.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6.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6.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6.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6.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6.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6.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6.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6.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6.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6.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6.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6.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6.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6.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6.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6.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6.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6.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6.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6.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6.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6.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6.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6.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6.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6.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6.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6.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6.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6.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6.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6.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6.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6.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6.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6.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6.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6.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6.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6.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6.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6.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6.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6.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6.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6.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6.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6.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6.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6.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6.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6.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6.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6.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6.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6.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6.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6.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6.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6.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6.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6.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6.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6.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6.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6.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6.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6.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6.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6.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6.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6.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6.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6.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6.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6.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6.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6.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6.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6.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6.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6.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6.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6.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6.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6.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6.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6.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6.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6.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6.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6.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6.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6.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6.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6.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6.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6.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6.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6.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6.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6.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6.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6.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6.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6.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6.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6.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6.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6.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6.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6.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6.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6.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6.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6.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6.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6.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6.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6.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6.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6.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6.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6.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6.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6.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6.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6.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6.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6.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6.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6.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6.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6.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6.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6.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6.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6.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6.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6.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6.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6.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6.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6.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6.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6.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6.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16.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16.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16.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16.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16.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16.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16.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16.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16.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16.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16.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16.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16.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16.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16.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16.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16.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16.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16.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16.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16.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16.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16.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16.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16.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16.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16.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16.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16.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16.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16.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16.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16.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16.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16.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16.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16.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16.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16.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16.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16.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16.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16.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16.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16.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16.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16.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16.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16.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16.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16.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16.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16.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16.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16.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16.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16.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16.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16.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16.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16.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16.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16.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16.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16.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16.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16.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16.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16.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16.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16.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16.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16.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16.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16.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16.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16.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16.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16.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16.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16.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16.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16.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16.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16.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16.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16.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16.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16.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16.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16.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16.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16.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16.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16.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16.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16.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16.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16.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16.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16.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16.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16.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16.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16.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16.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16.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16.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16.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16.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16.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16.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16.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16.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16.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16.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16.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16.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16.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16.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16.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16.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16.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16.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16.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16.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16.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16.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16.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16.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16.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16.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16.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16.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16.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16.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16.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16.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16.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16.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16.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16.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16.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16.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16.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16.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16.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16.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16.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16.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16.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16.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16.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16.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16.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16.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16.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16.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16.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16.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16.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16.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16.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16.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16.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16.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16.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16.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16.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16.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16.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16.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16.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16.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16.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16.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16.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16.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16.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16.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ht="16.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ht="16.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ht="16.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ht="16.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ht="16.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ht="16.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ht="16.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ht="16.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ht="16.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ht="16.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ht="16.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ht="16.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ht="16.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ht="16.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ht="16.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ht="16.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ht="16.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ht="16.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ht="16.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ht="16.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ht="16.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ht="16.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ht="16.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ht="16.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ht="16.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ht="16.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ht="16.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ht="16.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ht="16.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ht="16.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ht="16.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ht="16.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ht="16.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ht="16.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ht="16.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ht="16.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ht="16.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ht="16.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ht="16.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ht="16.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ht="16.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ht="16.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ht="16.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ht="16.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ht="16.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6.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ht="16.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ht="16.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ht="16.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ht="16.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ht="16.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ht="16.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ht="16.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ht="16.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ht="16.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ht="16.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ht="16.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ht="16.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ht="16.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ht="16.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ht="16.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ht="16.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ht="16.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ht="16.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ht="16.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ht="16.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ht="16.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ht="16.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ht="16.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ht="16.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ht="16.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ht="16.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ht="16.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ht="16.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ht="16.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ht="16.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ht="16.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ht="16.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ht="16.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ht="16.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ht="16.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ht="16.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ht="16.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ht="16.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ht="16.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ht="16.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ht="16.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ht="16.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ht="16.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ht="16.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ht="16.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ht="16.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ht="16.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ht="16.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ht="16.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ht="16.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ht="16.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ht="16.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ht="16.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ht="16.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ht="16.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ht="16.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ht="16.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ht="16.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ht="16.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ht="16.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ht="16.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ht="16.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ht="16.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ht="16.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ht="16.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ht="16.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ht="16.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ht="16.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ht="16.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ht="16.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ht="16.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ht="16.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ht="16.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ht="16.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ht="16.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ht="16.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ht="16.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ht="16.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ht="16.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ht="16.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ht="16.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ht="16.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ht="16.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ht="16.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ht="16.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ht="16.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ht="16.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ht="16.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ht="16.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ht="16.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ht="16.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ht="16.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ht="16.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ht="16.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ht="16.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ht="16.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ht="16.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ht="16.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ht="16.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ht="16.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ht="16.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ht="16.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ht="16.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ht="16.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ht="16.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ht="16.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ht="16.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ht="16.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ht="16.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ht="16.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ht="16.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ht="16.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ht="16.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ht="16.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ht="16.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ht="16.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ht="16.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ht="16.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ht="16.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ht="16.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ht="16.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ht="16.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ht="16.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ht="16.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ht="16.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ht="16.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ht="16.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ht="16.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ht="16.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ht="16.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ht="16.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ht="16.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ht="16.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ht="16.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ht="16.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ht="16.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ht="16.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ht="16.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ht="16.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ht="16.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ht="16.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ht="16.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ht="16.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ht="16.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ht="16.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ht="16.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ht="16.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ht="16.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ht="16.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ht="16.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ht="16.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ht="16.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ht="16.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ht="16.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ht="16.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ht="16.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ht="16.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ht="16.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ht="16.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ht="16.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ht="16.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ht="16.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ht="16.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ht="16.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ht="16.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ht="16.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ht="16.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ht="16.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ht="16.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ht="16.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ht="16.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ht="16.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ht="16.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ht="16.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ht="16.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ht="16.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ht="16.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ht="16.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ht="16.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ht="16.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ht="16.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ht="16.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ht="16.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ht="16.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ht="16.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ht="16.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ht="16.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ht="16.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ht="16.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ht="16.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ht="16.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ht="16.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ht="16.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ht="16.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ht="16.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ht="16.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ht="16.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ht="16.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ht="16.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ht="16.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ht="16.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ht="16.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ht="16.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ht="16.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ht="16.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ht="16.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ht="16.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ht="16.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ht="16.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ht="16.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ht="16.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ht="16.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ht="16.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ht="16.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ht="16.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ht="16.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ht="16.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ht="16.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ht="16.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ht="16.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ht="16.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ht="16.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ht="16.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ht="16.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ht="16.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ht="16.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ht="16.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ht="16.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ht="16.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ht="16.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ht="16.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ht="16.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ht="16.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ht="16.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ht="16.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ht="16.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ht="16.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ht="16.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ht="16.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ht="16.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ht="16.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ht="16.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ht="16.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ht="16.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ht="16.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ht="16.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ht="16.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ht="16.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ht="16.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ht="16.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ht="16.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ht="16.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ht="16.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ht="16.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ht="16.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ht="16.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ht="16.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ht="16.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ht="16.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ht="16.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ht="16.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ht="16.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ht="16.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ht="16.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ht="16.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ht="16.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ht="16.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ht="16.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ht="16.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ht="16.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ht="16.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ht="16.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ht="16.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ht="16.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ht="16.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ht="16.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ht="16.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ht="16.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ht="16.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ht="16.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ht="16.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ht="16.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ht="16.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ht="16.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ht="16.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ht="16.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ht="16.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ht="16.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ht="16.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ht="16.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ht="16.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ht="16.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ht="16.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ht="16.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ht="16.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ht="16.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ht="16.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ht="16.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ht="16.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ht="16.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ht="16.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ht="16.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ht="16.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ht="16.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ht="16.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ht="16.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ht="16.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ht="16.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ht="16.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ht="16.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ht="16.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ht="16.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ht="16.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ht="16.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ht="16.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ht="16.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ht="16.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ht="16.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ht="16.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ht="16.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ht="16.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ht="16.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ht="16.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ht="16.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ht="16.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ht="16.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ht="16.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ht="16.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ht="16.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ht="16.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ht="16.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ht="16.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ht="16.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ht="16.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ht="16.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ht="16.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ht="16.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ht="16.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ht="16.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ht="16.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ht="16.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ht="16.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ht="16.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ht="16.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ht="16.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ht="16.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ht="16.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ht="16.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ht="16.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ht="16.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ht="16.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ht="16.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ht="16.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ht="16.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ht="16.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ht="16.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ht="16.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ht="16.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ht="16.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ht="16.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ht="16.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ht="16.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ht="16.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ht="16.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ht="16.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ht="16.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ht="16.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ht="16.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ht="16.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ht="16.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ht="16.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ht="16.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ht="16.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ht="16.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ht="16.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ht="16.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ht="16.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ht="16.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ht="16.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ht="16.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ht="16.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ht="16.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ht="16.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ht="16.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ht="16.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ht="16.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ht="16.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ht="16.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ht="16.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ht="16.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ht="16.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ht="16.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ht="16.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ht="16.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ht="16.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ht="16.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ht="16.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ht="16.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ht="16.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ht="16.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ht="16.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ht="16.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ht="16.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ht="16.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ht="16.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ht="16.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ht="16.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ht="16.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ht="16.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ht="16.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ht="16.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ht="16.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ht="16.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ht="16.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ht="16.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ht="16.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ht="16.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ht="16.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ht="16.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ht="16.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ht="16.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ht="16.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ht="16.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ht="16.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ht="16.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ht="16.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ht="16.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ht="16.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ht="16.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ht="16.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ht="16.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ht="16.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ht="16.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ht="16.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ht="16.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ht="16.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ht="16.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ht="16.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ht="16.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ht="16.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ht="16.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ht="16.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ht="16.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ht="16.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ht="16.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ht="16.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ht="16.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ht="16.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ht="16.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ht="16.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ht="16.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ht="16.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ht="16.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ht="16.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ht="16.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ht="16.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ht="16.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ht="16.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ht="16.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ht="16.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ht="16.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ht="16.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ht="16.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ht="16.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ht="16.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ht="16.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ht="16.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ht="16.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ht="16.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ht="16.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ht="16.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mergeCells count="7">
    <mergeCell ref="A1:N1"/>
    <mergeCell ref="A17:A19"/>
    <mergeCell ref="B17:D17"/>
    <mergeCell ref="E17:G17"/>
    <mergeCell ref="H17:J17"/>
    <mergeCell ref="K17:M17"/>
    <mergeCell ref="N17:N19"/>
  </mergeCells>
  <printOptions/>
  <pageMargins bottom="0.7480314960629921" footer="0.0" header="0.0" left="0.7086614173228347" right="0.7086614173228347" top="0.7480314960629921"/>
  <pageSetup paperSize="9" orientation="portrait"/>
  <drawing r:id="rId1"/>
</worksheet>
</file>